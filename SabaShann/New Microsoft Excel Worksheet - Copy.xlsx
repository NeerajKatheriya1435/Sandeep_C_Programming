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D:\Cadd Mentor\Student_Class_Code\Office Automation\"/>
    </mc:Choice>
  </mc:AlternateContent>
  <xr:revisionPtr revIDLastSave="0" documentId="13_ncr:1_{6AFFBF2F-AE6A-4A88-8317-E19AB0A91DC0}" xr6:coauthVersionLast="36" xr6:coauthVersionMax="36" xr10:uidLastSave="{00000000-0000-0000-0000-000000000000}"/>
  <bookViews>
    <workbookView xWindow="0" yWindow="0" windowWidth="22260" windowHeight="12648" activeTab="4" xr2:uid="{00000000-000D-0000-FFFF-FFFF00000000}"/>
  </bookViews>
  <sheets>
    <sheet name="MarkSheet" sheetId="1" r:id="rId1"/>
    <sheet name="Students" sheetId="2" r:id="rId2"/>
    <sheet name="Sheet1" sheetId="6" r:id="rId3"/>
    <sheet name="Sheet3" sheetId="3" r:id="rId4"/>
    <sheet name="Sheet5" sheetId="5" r:id="rId5"/>
  </sheets>
  <definedNames>
    <definedName name="_xlnm._FilterDatabase" localSheetId="0" hidden="1">MarkSheet!$A$1:$F$10</definedName>
    <definedName name="_xlnm.Print_Area" localSheetId="3">Sheet3!$B$1:$I$61</definedName>
    <definedName name="_xlnm.Print_Titles" localSheetId="3">Sheet3!$1:$1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16" i="1"/>
  <c r="D19" i="1"/>
  <c r="D20" i="1" s="1"/>
  <c r="D21" i="1" s="1"/>
  <c r="K5" i="1"/>
  <c r="K2" i="1"/>
  <c r="K3" i="1"/>
  <c r="K4" i="1"/>
  <c r="K6" i="1"/>
  <c r="K7" i="1"/>
  <c r="K8" i="1"/>
  <c r="K9" i="1"/>
  <c r="K10" i="1"/>
  <c r="K11" i="1"/>
  <c r="J3" i="1"/>
  <c r="J4" i="1"/>
  <c r="J5" i="1"/>
  <c r="J6" i="1"/>
  <c r="J7" i="1"/>
  <c r="J8" i="1"/>
  <c r="J9" i="1"/>
  <c r="J10" i="1"/>
  <c r="J11" i="1"/>
  <c r="J2" i="1"/>
  <c r="F18" i="5" l="1"/>
  <c r="J15" i="5"/>
  <c r="J13" i="5"/>
  <c r="J12" i="5"/>
  <c r="I13" i="5"/>
  <c r="I14" i="5"/>
  <c r="I12" i="5"/>
  <c r="H13" i="5"/>
  <c r="H14" i="5"/>
  <c r="H12" i="5"/>
  <c r="D17" i="5"/>
  <c r="F16" i="5"/>
  <c r="D16" i="5"/>
  <c r="G13" i="5"/>
  <c r="G14" i="5"/>
  <c r="E13" i="5"/>
  <c r="F13" i="5" s="1"/>
  <c r="E14" i="5"/>
  <c r="F14" i="5" s="1"/>
  <c r="E12" i="5"/>
  <c r="G12" i="5" s="1"/>
  <c r="D13" i="5"/>
  <c r="D14" i="5"/>
  <c r="D12" i="5"/>
  <c r="F12" i="5" l="1"/>
  <c r="E6" i="1"/>
  <c r="I6" i="1" s="1"/>
  <c r="E7" i="1"/>
  <c r="I7" i="1" s="1"/>
  <c r="E8" i="1"/>
  <c r="I8" i="1" s="1"/>
  <c r="E9" i="1"/>
  <c r="I9" i="1" s="1"/>
  <c r="E10" i="1"/>
  <c r="I10" i="1" s="1"/>
  <c r="E11" i="1"/>
  <c r="I11" i="1" s="1"/>
  <c r="F3" i="1"/>
  <c r="F4" i="1"/>
  <c r="F5" i="1"/>
  <c r="F6" i="1"/>
  <c r="F7" i="1"/>
  <c r="F8" i="1"/>
  <c r="F9" i="1"/>
  <c r="F10" i="1"/>
  <c r="F11" i="1"/>
  <c r="E3" i="1"/>
  <c r="I3" i="1" s="1"/>
  <c r="E4" i="1"/>
  <c r="I4" i="1" s="1"/>
  <c r="E5" i="1"/>
  <c r="I5" i="1" s="1"/>
  <c r="F2" i="1" l="1"/>
  <c r="E2" i="1"/>
  <c r="I2" i="1" s="1"/>
</calcChain>
</file>

<file path=xl/sharedStrings.xml><?xml version="1.0" encoding="utf-8"?>
<sst xmlns="http://schemas.openxmlformats.org/spreadsheetml/2006/main" count="116" uniqueCount="49">
  <si>
    <t>Name</t>
  </si>
  <si>
    <t>Shubham</t>
  </si>
  <si>
    <t>Neeraj</t>
  </si>
  <si>
    <t>Shaan</t>
  </si>
  <si>
    <t>Saba</t>
  </si>
  <si>
    <t>Maths</t>
  </si>
  <si>
    <t>Physics</t>
  </si>
  <si>
    <t>Chemestry</t>
  </si>
  <si>
    <t>Total</t>
  </si>
  <si>
    <t>Average</t>
  </si>
  <si>
    <t>Aman</t>
  </si>
  <si>
    <t>Lucky</t>
  </si>
  <si>
    <t>Munim</t>
  </si>
  <si>
    <t>Post</t>
  </si>
  <si>
    <t>Managaer</t>
  </si>
  <si>
    <t>Emloyee</t>
  </si>
  <si>
    <t>HR</t>
  </si>
  <si>
    <t>Photo</t>
  </si>
  <si>
    <t>Student name</t>
  </si>
  <si>
    <t>Hindi</t>
  </si>
  <si>
    <t>Shivam</t>
  </si>
  <si>
    <t>Sp1</t>
  </si>
  <si>
    <t>Sp2</t>
  </si>
  <si>
    <t>Sp3</t>
  </si>
  <si>
    <t>Chemistry</t>
  </si>
  <si>
    <t>Science</t>
  </si>
  <si>
    <t>Sumit</t>
  </si>
  <si>
    <t>Sanu</t>
  </si>
  <si>
    <t>singh</t>
  </si>
  <si>
    <t>kumaR</t>
  </si>
  <si>
    <t>yaDav</t>
  </si>
  <si>
    <t>Proper Case</t>
  </si>
  <si>
    <t>Concat</t>
  </si>
  <si>
    <t>Upper</t>
  </si>
  <si>
    <t>LowerCase</t>
  </si>
  <si>
    <t>Length</t>
  </si>
  <si>
    <t>Replace</t>
  </si>
  <si>
    <t xml:space="preserve">        Aman      </t>
  </si>
  <si>
    <t>Result1</t>
  </si>
  <si>
    <t>Result2</t>
  </si>
  <si>
    <t>Result3</t>
  </si>
  <si>
    <t>Amount</t>
  </si>
  <si>
    <t>Months</t>
  </si>
  <si>
    <t>Rate</t>
  </si>
  <si>
    <t>Total Interest</t>
  </si>
  <si>
    <t>EMI/Month</t>
  </si>
  <si>
    <t>Total Payble</t>
  </si>
  <si>
    <t>IPMT</t>
  </si>
  <si>
    <t>PPMT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</si>
</sst>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_ [$₹-4009]\ * #,##0.00_ ;_ [$₹-4009]\ * \-#,##0.00_ ;_ [$₹-4009]\ * &quot;-&quot;??_ ;_ @_ "/>
  </numFmts>
  <fonts count="4" x14ac:knownFonts="1">
    <font>
      <sz val="11"/>
      <color theme="1"/>
      <name val="Corbel"/>
      <family val="2"/>
      <scheme val="minor"/>
    </font>
    <font>
      <sz val="11"/>
      <color theme="1"/>
      <name val="Corbel"/>
      <family val="2"/>
      <scheme val="minor"/>
    </font>
    <font>
      <b/>
      <sz val="11"/>
      <color theme="0"/>
      <name val="Corbel"/>
      <family val="2"/>
      <scheme val="minor"/>
    </font>
    <font>
      <sz val="10"/>
      <color rgb="FF1E1E1E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theme="4" tint="0.39997558519241921"/>
      </left>
      <right/>
      <top style="thin">
        <color theme="0"/>
      </top>
      <bottom style="thin">
        <color theme="4" tint="0.39997558519241921"/>
      </bottom>
      <diagonal/>
    </border>
    <border>
      <left style="thin">
        <color theme="0"/>
      </left>
      <right/>
      <top style="thin">
        <color theme="0"/>
      </top>
      <bottom style="thin">
        <color theme="4" tint="0.39997558519241921"/>
      </bottom>
      <diagonal/>
    </border>
    <border>
      <left style="thin">
        <color theme="0"/>
      </left>
      <right style="thin">
        <color theme="4" tint="0.39997558519241921"/>
      </right>
      <top style="thin">
        <color theme="0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0"/>
      </left>
      <right/>
      <top style="thin">
        <color theme="4" tint="0.39997558519241921"/>
      </top>
      <bottom/>
      <diagonal/>
    </border>
    <border>
      <left style="thin">
        <color theme="0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ck">
        <color theme="0"/>
      </top>
      <bottom/>
      <diagonal/>
    </border>
    <border>
      <left style="thin">
        <color theme="0"/>
      </left>
      <right style="thin">
        <color theme="4" tint="0.39997558519241921"/>
      </right>
      <top style="thick">
        <color theme="0"/>
      </top>
      <bottom/>
      <diagonal/>
    </border>
    <border>
      <left style="thin">
        <color theme="4" tint="0.39997558519241921"/>
      </left>
      <right/>
      <top style="thin">
        <color theme="0"/>
      </top>
      <bottom/>
      <diagonal/>
    </border>
    <border>
      <left style="thin">
        <color theme="0"/>
      </left>
      <right style="thin">
        <color theme="4" tint="0.39997558519241921"/>
      </right>
      <top style="thin">
        <color theme="0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NumberFormat="1"/>
    <xf numFmtId="2" fontId="0" fillId="3" borderId="1" xfId="0" applyNumberFormat="1" applyFont="1" applyFill="1" applyBorder="1"/>
    <xf numFmtId="0" fontId="0" fillId="3" borderId="1" xfId="0" applyFont="1" applyFill="1" applyBorder="1"/>
    <xf numFmtId="1" fontId="0" fillId="3" borderId="1" xfId="0" applyNumberFormat="1" applyFont="1" applyFill="1" applyBorder="1"/>
    <xf numFmtId="0" fontId="0" fillId="3" borderId="2" xfId="0" applyFont="1" applyFill="1" applyBorder="1"/>
    <xf numFmtId="1" fontId="0" fillId="3" borderId="2" xfId="0" applyNumberFormat="1" applyFont="1" applyFill="1" applyBorder="1"/>
    <xf numFmtId="2" fontId="0" fillId="3" borderId="2" xfId="0" applyNumberFormat="1" applyFont="1" applyFill="1" applyBorder="1"/>
    <xf numFmtId="1" fontId="0" fillId="3" borderId="1" xfId="1" applyNumberFormat="1" applyFont="1" applyFill="1" applyBorder="1"/>
    <xf numFmtId="0" fontId="0" fillId="3" borderId="3" xfId="0" applyFont="1" applyFill="1" applyBorder="1"/>
    <xf numFmtId="0" fontId="0" fillId="3" borderId="4" xfId="0" applyFont="1" applyFill="1" applyBorder="1"/>
    <xf numFmtId="1" fontId="0" fillId="3" borderId="4" xfId="0" applyNumberFormat="1" applyFont="1" applyFill="1" applyBorder="1"/>
    <xf numFmtId="2" fontId="0" fillId="3" borderId="4" xfId="0" applyNumberFormat="1" applyFont="1" applyFill="1" applyBorder="1"/>
    <xf numFmtId="1" fontId="0" fillId="3" borderId="5" xfId="0" applyNumberFormat="1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7" xfId="0" applyFont="1" applyFill="1" applyBorder="1" applyAlignment="1"/>
    <xf numFmtId="0" fontId="2" fillId="2" borderId="8" xfId="0" applyFont="1" applyFill="1" applyBorder="1" applyAlignment="1"/>
    <xf numFmtId="0" fontId="0" fillId="3" borderId="9" xfId="0" applyFont="1" applyFill="1" applyBorder="1"/>
    <xf numFmtId="0" fontId="0" fillId="3" borderId="10" xfId="0" applyFont="1" applyFill="1" applyBorder="1"/>
    <xf numFmtId="0" fontId="0" fillId="3" borderId="11" xfId="0" applyFont="1" applyFill="1" applyBorder="1"/>
    <xf numFmtId="1" fontId="0" fillId="3" borderId="12" xfId="0" applyNumberFormat="1" applyFont="1" applyFill="1" applyBorder="1"/>
    <xf numFmtId="0" fontId="0" fillId="3" borderId="12" xfId="0" applyFont="1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3" fillId="0" borderId="0" xfId="0" applyFont="1"/>
    <xf numFmtId="14" fontId="0" fillId="0" borderId="0" xfId="0" applyNumberFormat="1"/>
    <xf numFmtId="0" fontId="2" fillId="2" borderId="0" xfId="0" applyFont="1" applyFill="1" applyBorder="1" applyAlignment="1"/>
    <xf numFmtId="8" fontId="0" fillId="0" borderId="0" xfId="0" applyNumberFormat="1"/>
    <xf numFmtId="9" fontId="0" fillId="0" borderId="0" xfId="0" applyNumberFormat="1"/>
    <xf numFmtId="164" fontId="0" fillId="0" borderId="0" xfId="0" applyNumberFormat="1"/>
    <xf numFmtId="0" fontId="0" fillId="4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487680</xdr:colOff>
          <xdr:row>21</xdr:row>
          <xdr:rowOff>53340</xdr:rowOff>
        </xdr:from>
        <xdr:to>
          <xdr:col>14</xdr:col>
          <xdr:colOff>411480</xdr:colOff>
          <xdr:row>24</xdr:row>
          <xdr:rowOff>137160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3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10</xdr:col>
      <xdr:colOff>58924</xdr:colOff>
      <xdr:row>6</xdr:row>
      <xdr:rowOff>96870</xdr:rowOff>
    </xdr:from>
    <xdr:to>
      <xdr:col>11</xdr:col>
      <xdr:colOff>263461</xdr:colOff>
      <xdr:row>11</xdr:row>
      <xdr:rowOff>96870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7344816" y="1187116"/>
          <a:ext cx="814137" cy="90853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976.709130092589" createdVersion="6" refreshedVersion="6" minRefreshableVersion="3" recordCount="4" xr:uid="{7B94A42B-C2BF-482E-837B-121DB601D8EE}">
  <cacheSource type="worksheet">
    <worksheetSource ref="A1:F5" sheet="Sheet3"/>
  </cacheSource>
  <cacheFields count="4">
    <cacheField name="Student name" numFmtId="0">
      <sharedItems/>
    </cacheField>
    <cacheField name="Hindi" numFmtId="0">
      <sharedItems containsSemiMixedTypes="0" containsString="0" containsNumber="1" containsInteger="1" minValue="72" maxValue="90"/>
    </cacheField>
    <cacheField name="Maths" numFmtId="0">
      <sharedItems containsSemiMixedTypes="0" containsString="0" containsNumber="1" containsInteger="1" minValue="36" maxValue="89"/>
    </cacheField>
    <cacheField name="Physics" numFmtId="0">
      <sharedItems containsSemiMixedTypes="0" containsString="0" containsNumber="1" containsInteger="1" minValue="26" maxValue="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s v="Shivam"/>
    <n v="88"/>
    <n v="69"/>
    <n v="26"/>
  </r>
  <r>
    <s v="Shaan"/>
    <n v="72"/>
    <n v="51"/>
    <n v="69"/>
  </r>
  <r>
    <s v="Saba"/>
    <n v="78"/>
    <n v="89"/>
    <n v="66"/>
  </r>
  <r>
    <s v="Neeraj"/>
    <n v="90"/>
    <n v="36"/>
    <n v="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5B9B4B-DA0B-4C6B-9B9B-1E4B665BD4A9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20" firstHeaderRow="1" firstDataRow="1" firstDataCol="0"/>
  <pivotFields count="4"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Dividend">
  <a:themeElements>
    <a:clrScheme name="Red Orange">
      <a:dk1>
        <a:sysClr val="windowText" lastClr="000000"/>
      </a:dk1>
      <a:lt1>
        <a:sysClr val="window" lastClr="FFFFFF"/>
      </a:lt1>
      <a:dk2>
        <a:srgbClr val="505046"/>
      </a:dk2>
      <a:lt2>
        <a:srgbClr val="EEECE1"/>
      </a:lt2>
      <a:accent1>
        <a:srgbClr val="E84C22"/>
      </a:accent1>
      <a:accent2>
        <a:srgbClr val="FFBD47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666699"/>
      </a:folHlink>
    </a:clrScheme>
    <a:fontScheme name="Corbel">
      <a:maj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nset">
      <a:fillStyleLst>
        <a:solidFill>
          <a:schemeClr val="phClr"/>
        </a:solidFill>
        <a:gradFill rotWithShape="1">
          <a:gsLst>
            <a:gs pos="0">
              <a:schemeClr val="phClr">
                <a:tint val="20000"/>
                <a:satMod val="180000"/>
                <a:lumMod val="98000"/>
              </a:schemeClr>
            </a:gs>
            <a:gs pos="40000">
              <a:schemeClr val="phClr">
                <a:tint val="30000"/>
                <a:satMod val="260000"/>
                <a:lumMod val="84000"/>
              </a:schemeClr>
            </a:gs>
            <a:gs pos="100000">
              <a:schemeClr val="phClr">
                <a:tint val="100000"/>
                <a:satMod val="110000"/>
                <a:lumMod val="100000"/>
              </a:schemeClr>
            </a:gs>
          </a:gsLst>
          <a:lin ang="5040000" scaled="1"/>
        </a:gradFill>
        <a:gradFill rotWithShape="1">
          <a:gsLst>
            <a:gs pos="0">
              <a:schemeClr val="phClr"/>
            </a:gs>
            <a:gs pos="100000">
              <a:schemeClr val="phClr">
                <a:shade val="75000"/>
                <a:satMod val="120000"/>
                <a:lumMod val="9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20400000"/>
            </a:lightRig>
          </a:scene3d>
          <a:sp3d>
            <a:bevelT w="50800" h="12700" prst="softRound"/>
          </a:sp3d>
        </a:effectStyle>
        <a:effectStyle>
          <a:effectLst>
            <a:outerShdw blurRad="44450" dist="50800" dir="5400000" sx="96000" rotWithShape="0">
              <a:srgbClr val="000000">
                <a:alpha val="34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20400000"/>
            </a:lightRig>
          </a:scene3d>
          <a:sp3d contourW="15875">
            <a:bevelT w="101600" h="25400" prst="softRound"/>
            <a:contourClr>
              <a:schemeClr val="phClr">
                <a:shade val="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88000">
              <a:schemeClr val="phClr">
                <a:shade val="94000"/>
                <a:satMod val="110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8000"/>
                <a:satMod val="110000"/>
                <a:lumMod val="8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ividend" id="{9697A71B-4AB7-4A1A-BD5B-BB2D22835B57}" vid="{C21699FF-00E4-43C8-BBCC-D7E5536C3717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B37AE1C-3ACD-409D-8FAB-B2404FD53739}">
  <we:reference id="wa104099688" version="1.7.0.0" store="en-US" storeType="OMEX"/>
  <we:alternateReferences>
    <we:reference id="WA104099688" version="1.7.0.0" store="WA104099688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image" Target="../media/image1.emf"/><Relationship Id="rId5" Type="http://schemas.openxmlformats.org/officeDocument/2006/relationships/oleObject" Target="../embeddings/oleObject1.bin"/><Relationship Id="rId4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</sheetPr>
  <dimension ref="A1:K75"/>
  <sheetViews>
    <sheetView zoomScale="130" zoomScaleNormal="130" workbookViewId="0">
      <selection activeCell="M22" sqref="M22"/>
    </sheetView>
  </sheetViews>
  <sheetFormatPr defaultRowHeight="14.4" x14ac:dyDescent="0.3"/>
  <cols>
    <col min="1" max="1" width="8.88671875" customWidth="1"/>
    <col min="2" max="2" width="9.6640625" customWidth="1"/>
    <col min="3" max="3" width="12.109375" bestFit="1" customWidth="1"/>
    <col min="4" max="4" width="12.44140625" bestFit="1" customWidth="1"/>
    <col min="5" max="6" width="13" customWidth="1"/>
    <col min="7" max="7" width="10.77734375" bestFit="1" customWidth="1"/>
    <col min="8" max="8" width="10.44140625" bestFit="1" customWidth="1"/>
    <col min="9" max="9" width="11.109375" customWidth="1"/>
  </cols>
  <sheetData>
    <row r="1" spans="1:11" ht="27" customHeight="1" thickBot="1" x14ac:dyDescent="0.35">
      <c r="A1" s="14" t="s">
        <v>0</v>
      </c>
      <c r="B1" s="15" t="s">
        <v>5</v>
      </c>
      <c r="C1" s="15" t="s">
        <v>6</v>
      </c>
      <c r="D1" s="15" t="s">
        <v>7</v>
      </c>
      <c r="E1" s="15" t="s">
        <v>8</v>
      </c>
      <c r="F1" s="16" t="s">
        <v>9</v>
      </c>
      <c r="G1" s="17" t="s">
        <v>13</v>
      </c>
      <c r="H1" s="17" t="s">
        <v>17</v>
      </c>
      <c r="I1" s="34" t="s">
        <v>38</v>
      </c>
      <c r="J1" s="34" t="s">
        <v>39</v>
      </c>
      <c r="K1" s="34" t="s">
        <v>40</v>
      </c>
    </row>
    <row r="2" spans="1:11" ht="27" customHeight="1" thickTop="1" x14ac:dyDescent="0.3">
      <c r="A2" s="18" t="s">
        <v>2</v>
      </c>
      <c r="B2" s="5">
        <v>93</v>
      </c>
      <c r="C2" s="5">
        <v>99</v>
      </c>
      <c r="D2" s="6">
        <v>67</v>
      </c>
      <c r="E2" s="5">
        <f t="shared" ref="E2:E11" si="0">SUM(B2:D2)</f>
        <v>259</v>
      </c>
      <c r="F2" s="7">
        <f t="shared" ref="F2:F11" si="1">AVERAGE(B2:D2)</f>
        <v>86.333333333333329</v>
      </c>
      <c r="G2" s="19" t="s">
        <v>14</v>
      </c>
      <c r="H2" s="19"/>
      <c r="I2" s="1" t="str">
        <f>IF(E2&gt;150,"Pass","Fail")</f>
        <v>Pass</v>
      </c>
      <c r="J2" t="str">
        <f>IF(AND(B2&gt;=33,C2&gt;=33,D2&gt;=33),"Pass","Fail")</f>
        <v>Pass</v>
      </c>
      <c r="K2" t="str">
        <f>IF(OR(B2&lt;=33,C2&lt;=33,D2&lt;=33),"Fail","Pass")</f>
        <v>Pass</v>
      </c>
    </row>
    <row r="3" spans="1:11" ht="27" customHeight="1" x14ac:dyDescent="0.3">
      <c r="A3" s="20" t="s">
        <v>4</v>
      </c>
      <c r="B3" s="3">
        <v>76</v>
      </c>
      <c r="C3" s="3">
        <v>43</v>
      </c>
      <c r="D3" s="4">
        <v>44</v>
      </c>
      <c r="E3" s="3">
        <f t="shared" si="0"/>
        <v>163</v>
      </c>
      <c r="F3" s="2">
        <f t="shared" si="1"/>
        <v>54.333333333333336</v>
      </c>
      <c r="G3" s="21" t="s">
        <v>15</v>
      </c>
      <c r="H3" s="21"/>
      <c r="I3" s="1" t="str">
        <f t="shared" ref="I3:I11" si="2">IF(E3&gt;150,"Pass","Fail")</f>
        <v>Pass</v>
      </c>
      <c r="J3" t="str">
        <f t="shared" ref="J3:J11" si="3">IF(AND(B3&gt;=33,C3&gt;=33,D3&gt;=33),"Pass","Fail")</f>
        <v>Pass</v>
      </c>
      <c r="K3" t="str">
        <f t="shared" ref="K3:K11" si="4">IF(OR(B3&lt;=33,C3&lt;=33,D3&lt;=33),"Fail","Pass")</f>
        <v>Pass</v>
      </c>
    </row>
    <row r="4" spans="1:11" ht="27" customHeight="1" x14ac:dyDescent="0.3">
      <c r="A4" s="20" t="s">
        <v>3</v>
      </c>
      <c r="B4" s="3">
        <v>90</v>
      </c>
      <c r="C4" s="3">
        <v>76</v>
      </c>
      <c r="D4" s="4">
        <v>78</v>
      </c>
      <c r="E4" s="3">
        <f t="shared" si="0"/>
        <v>244</v>
      </c>
      <c r="F4" s="2">
        <f t="shared" si="1"/>
        <v>81.333333333333329</v>
      </c>
      <c r="G4" s="21" t="s">
        <v>16</v>
      </c>
      <c r="H4" s="21"/>
      <c r="I4" s="1" t="str">
        <f t="shared" si="2"/>
        <v>Pass</v>
      </c>
      <c r="J4" t="str">
        <f t="shared" si="3"/>
        <v>Pass</v>
      </c>
      <c r="K4" t="str">
        <f t="shared" si="4"/>
        <v>Pass</v>
      </c>
    </row>
    <row r="5" spans="1:11" ht="27" customHeight="1" x14ac:dyDescent="0.3">
      <c r="A5" s="20" t="s">
        <v>1</v>
      </c>
      <c r="B5" s="3">
        <v>32</v>
      </c>
      <c r="C5" s="3">
        <v>56</v>
      </c>
      <c r="D5" s="4">
        <v>89</v>
      </c>
      <c r="E5" s="3">
        <f t="shared" si="0"/>
        <v>177</v>
      </c>
      <c r="F5" s="2">
        <f t="shared" si="1"/>
        <v>59</v>
      </c>
      <c r="G5" s="21" t="s">
        <v>15</v>
      </c>
      <c r="H5" s="21"/>
      <c r="I5" s="1" t="str">
        <f t="shared" si="2"/>
        <v>Pass</v>
      </c>
      <c r="J5" t="str">
        <f t="shared" si="3"/>
        <v>Fail</v>
      </c>
      <c r="K5" t="str">
        <f>IF(OR(B5&lt;=33,C5&lt;=33,D5&lt;=33),"Fail","Pass")</f>
        <v>Fail</v>
      </c>
    </row>
    <row r="6" spans="1:11" ht="27" customHeight="1" x14ac:dyDescent="0.3">
      <c r="A6" s="20" t="s">
        <v>10</v>
      </c>
      <c r="B6" s="3">
        <v>45</v>
      </c>
      <c r="C6" s="3">
        <v>67</v>
      </c>
      <c r="D6" s="4">
        <v>23</v>
      </c>
      <c r="E6" s="3">
        <f t="shared" si="0"/>
        <v>135</v>
      </c>
      <c r="F6" s="2">
        <f t="shared" si="1"/>
        <v>45</v>
      </c>
      <c r="G6" s="21" t="s">
        <v>16</v>
      </c>
      <c r="H6" s="21"/>
      <c r="I6" s="1" t="str">
        <f t="shared" si="2"/>
        <v>Fail</v>
      </c>
      <c r="J6" t="str">
        <f t="shared" si="3"/>
        <v>Fail</v>
      </c>
      <c r="K6" t="str">
        <f t="shared" si="4"/>
        <v>Fail</v>
      </c>
    </row>
    <row r="7" spans="1:11" ht="27" customHeight="1" x14ac:dyDescent="0.3">
      <c r="A7" s="20" t="s">
        <v>4</v>
      </c>
      <c r="B7" s="3">
        <v>34</v>
      </c>
      <c r="C7" s="3">
        <v>12</v>
      </c>
      <c r="D7" s="8">
        <v>45</v>
      </c>
      <c r="E7" s="3">
        <f t="shared" si="0"/>
        <v>91</v>
      </c>
      <c r="F7" s="2">
        <f t="shared" si="1"/>
        <v>30.333333333333332</v>
      </c>
      <c r="G7" s="21" t="s">
        <v>15</v>
      </c>
      <c r="H7" s="21"/>
      <c r="I7" s="1" t="str">
        <f t="shared" si="2"/>
        <v>Fail</v>
      </c>
      <c r="J7" t="str">
        <f t="shared" si="3"/>
        <v>Fail</v>
      </c>
      <c r="K7" t="str">
        <f t="shared" si="4"/>
        <v>Fail</v>
      </c>
    </row>
    <row r="8" spans="1:11" ht="27" customHeight="1" x14ac:dyDescent="0.3">
      <c r="A8" s="20" t="s">
        <v>1</v>
      </c>
      <c r="B8" s="3">
        <v>23</v>
      </c>
      <c r="C8" s="3">
        <v>34</v>
      </c>
      <c r="D8" s="4">
        <v>23</v>
      </c>
      <c r="E8" s="3">
        <f t="shared" si="0"/>
        <v>80</v>
      </c>
      <c r="F8" s="2">
        <f t="shared" si="1"/>
        <v>26.666666666666668</v>
      </c>
      <c r="G8" s="22" t="s">
        <v>14</v>
      </c>
      <c r="H8" s="22"/>
      <c r="I8" s="1" t="str">
        <f t="shared" si="2"/>
        <v>Fail</v>
      </c>
      <c r="J8" t="str">
        <f t="shared" si="3"/>
        <v>Fail</v>
      </c>
      <c r="K8" t="str">
        <f t="shared" si="4"/>
        <v>Fail</v>
      </c>
    </row>
    <row r="9" spans="1:11" ht="27" customHeight="1" x14ac:dyDescent="0.3">
      <c r="A9" s="20" t="s">
        <v>11</v>
      </c>
      <c r="B9" s="3">
        <v>45</v>
      </c>
      <c r="C9" s="3">
        <v>34</v>
      </c>
      <c r="D9" s="4">
        <v>96</v>
      </c>
      <c r="E9" s="3">
        <f t="shared" si="0"/>
        <v>175</v>
      </c>
      <c r="F9" s="2">
        <f t="shared" si="1"/>
        <v>58.333333333333336</v>
      </c>
      <c r="G9" s="21" t="s">
        <v>15</v>
      </c>
      <c r="H9" s="21"/>
      <c r="I9" s="1" t="str">
        <f t="shared" si="2"/>
        <v>Pass</v>
      </c>
      <c r="J9" t="str">
        <f t="shared" si="3"/>
        <v>Pass</v>
      </c>
      <c r="K9" t="str">
        <f t="shared" si="4"/>
        <v>Pass</v>
      </c>
    </row>
    <row r="10" spans="1:11" ht="27" customHeight="1" x14ac:dyDescent="0.3">
      <c r="A10" s="20" t="s">
        <v>1</v>
      </c>
      <c r="B10" s="3">
        <v>76</v>
      </c>
      <c r="C10" s="3">
        <v>31</v>
      </c>
      <c r="D10" s="4">
        <v>88</v>
      </c>
      <c r="E10" s="3">
        <f t="shared" si="0"/>
        <v>195</v>
      </c>
      <c r="F10" s="2">
        <f t="shared" si="1"/>
        <v>65</v>
      </c>
      <c r="G10" s="21" t="s">
        <v>16</v>
      </c>
      <c r="H10" s="21"/>
      <c r="I10" s="1" t="str">
        <f t="shared" si="2"/>
        <v>Pass</v>
      </c>
      <c r="J10" t="str">
        <f t="shared" si="3"/>
        <v>Fail</v>
      </c>
      <c r="K10" t="str">
        <f t="shared" si="4"/>
        <v>Fail</v>
      </c>
    </row>
    <row r="11" spans="1:11" ht="27" customHeight="1" x14ac:dyDescent="0.3">
      <c r="A11" s="9" t="s">
        <v>12</v>
      </c>
      <c r="B11" s="10">
        <v>85</v>
      </c>
      <c r="C11" s="10">
        <v>74</v>
      </c>
      <c r="D11" s="11">
        <v>38</v>
      </c>
      <c r="E11" s="10">
        <f t="shared" si="0"/>
        <v>197</v>
      </c>
      <c r="F11" s="12">
        <f t="shared" si="1"/>
        <v>65.666666666666671</v>
      </c>
      <c r="G11" s="13" t="s">
        <v>15</v>
      </c>
      <c r="H11" s="13"/>
      <c r="I11" s="1" t="str">
        <f t="shared" si="2"/>
        <v>Pass</v>
      </c>
      <c r="J11" t="str">
        <f t="shared" si="3"/>
        <v>Pass</v>
      </c>
      <c r="K11" t="str">
        <f t="shared" si="4"/>
        <v>Pass</v>
      </c>
    </row>
    <row r="15" spans="1:11" x14ac:dyDescent="0.3">
      <c r="C15" t="s">
        <v>41</v>
      </c>
      <c r="D15">
        <v>500000</v>
      </c>
      <c r="E15" t="s">
        <v>42</v>
      </c>
      <c r="F15" s="1" t="s">
        <v>47</v>
      </c>
      <c r="G15" t="s">
        <v>48</v>
      </c>
      <c r="H15" t="s">
        <v>8</v>
      </c>
    </row>
    <row r="16" spans="1:11" x14ac:dyDescent="0.3">
      <c r="C16" t="s">
        <v>42</v>
      </c>
      <c r="D16">
        <v>60</v>
      </c>
      <c r="E16">
        <v>1</v>
      </c>
      <c r="F16" s="35">
        <f>IPMT($D$17/12,E16,$D$16,-$D$15)</f>
        <v>5000</v>
      </c>
      <c r="G16" s="35">
        <f>PPMT($D$17/12,E16,$D$16,-$D$15)</f>
        <v>6122.2238424508869</v>
      </c>
      <c r="H16" s="35">
        <f>F16+G16</f>
        <v>11122.223842450887</v>
      </c>
    </row>
    <row r="17" spans="3:8" x14ac:dyDescent="0.3">
      <c r="C17" t="s">
        <v>43</v>
      </c>
      <c r="D17" s="36">
        <v>0.12</v>
      </c>
      <c r="E17">
        <v>2</v>
      </c>
      <c r="F17" s="35">
        <f t="shared" ref="F17:F75" si="5">IPMT($D$17/12,E17,$D$16,-$D$15)</f>
        <v>4938.7777615754912</v>
      </c>
      <c r="G17" s="35">
        <f t="shared" ref="G17:G75" si="6">PPMT($D$17/12,E17,$D$16,-$D$15)</f>
        <v>6183.4460808753956</v>
      </c>
      <c r="H17" s="35">
        <f t="shared" ref="H17:H75" si="7">F17+G17</f>
        <v>11122.223842450887</v>
      </c>
    </row>
    <row r="18" spans="3:8" x14ac:dyDescent="0.3">
      <c r="E18">
        <v>3</v>
      </c>
      <c r="F18" s="35">
        <f t="shared" si="5"/>
        <v>4876.9433007667358</v>
      </c>
      <c r="G18" s="35">
        <f t="shared" si="6"/>
        <v>6245.2805416841493</v>
      </c>
      <c r="H18" s="35">
        <f t="shared" si="7"/>
        <v>11122.223842450885</v>
      </c>
    </row>
    <row r="19" spans="3:8" x14ac:dyDescent="0.3">
      <c r="C19" s="38" t="s">
        <v>45</v>
      </c>
      <c r="D19" s="37">
        <f>PMT(D17/12,D16,-D15)</f>
        <v>11122.223842450885</v>
      </c>
      <c r="E19">
        <v>4</v>
      </c>
      <c r="F19" s="35">
        <f t="shared" si="5"/>
        <v>4814.4904953498954</v>
      </c>
      <c r="G19" s="35">
        <f t="shared" si="6"/>
        <v>6307.7333471009915</v>
      </c>
      <c r="H19" s="35">
        <f t="shared" si="7"/>
        <v>11122.223842450887</v>
      </c>
    </row>
    <row r="20" spans="3:8" x14ac:dyDescent="0.3">
      <c r="C20" s="38" t="s">
        <v>46</v>
      </c>
      <c r="D20" s="37">
        <f>D16*D19</f>
        <v>667333.43054705311</v>
      </c>
      <c r="E20">
        <v>5</v>
      </c>
      <c r="F20" s="35">
        <f t="shared" si="5"/>
        <v>4751.4131618788842</v>
      </c>
      <c r="G20" s="35">
        <f t="shared" si="6"/>
        <v>6370.8106805720008</v>
      </c>
      <c r="H20" s="35">
        <f t="shared" si="7"/>
        <v>11122.223842450885</v>
      </c>
    </row>
    <row r="21" spans="3:8" x14ac:dyDescent="0.3">
      <c r="C21" s="38" t="s">
        <v>44</v>
      </c>
      <c r="D21" s="37">
        <f>D20-D15</f>
        <v>167333.43054705311</v>
      </c>
      <c r="E21">
        <v>6</v>
      </c>
      <c r="F21" s="35">
        <f t="shared" si="5"/>
        <v>4687.7050550731647</v>
      </c>
      <c r="G21" s="35">
        <f t="shared" si="6"/>
        <v>6434.5187873777204</v>
      </c>
      <c r="H21" s="35">
        <f t="shared" si="7"/>
        <v>11122.223842450885</v>
      </c>
    </row>
    <row r="22" spans="3:8" x14ac:dyDescent="0.3">
      <c r="E22">
        <v>7</v>
      </c>
      <c r="F22" s="35">
        <f t="shared" si="5"/>
        <v>4623.3598671993886</v>
      </c>
      <c r="G22" s="35">
        <f t="shared" si="6"/>
        <v>6498.8639752514991</v>
      </c>
      <c r="H22" s="35">
        <f t="shared" si="7"/>
        <v>11122.223842450887</v>
      </c>
    </row>
    <row r="23" spans="3:8" x14ac:dyDescent="0.3">
      <c r="E23">
        <v>8</v>
      </c>
      <c r="F23" s="35">
        <f t="shared" si="5"/>
        <v>4558.3712274468726</v>
      </c>
      <c r="G23" s="35">
        <f t="shared" si="6"/>
        <v>6563.8526150040134</v>
      </c>
      <c r="H23" s="35">
        <f t="shared" si="7"/>
        <v>11122.223842450887</v>
      </c>
    </row>
    <row r="24" spans="3:8" x14ac:dyDescent="0.3">
      <c r="E24">
        <v>9</v>
      </c>
      <c r="F24" s="35">
        <f t="shared" si="5"/>
        <v>4492.7327012968335</v>
      </c>
      <c r="G24" s="35">
        <f t="shared" si="6"/>
        <v>6629.4911411540525</v>
      </c>
      <c r="H24" s="35">
        <f t="shared" si="7"/>
        <v>11122.223842450887</v>
      </c>
    </row>
    <row r="25" spans="3:8" x14ac:dyDescent="0.3">
      <c r="E25">
        <v>10</v>
      </c>
      <c r="F25" s="35">
        <f t="shared" si="5"/>
        <v>4426.4377898852927</v>
      </c>
      <c r="G25" s="35">
        <f t="shared" si="6"/>
        <v>6695.7860525655933</v>
      </c>
      <c r="H25" s="35">
        <f t="shared" si="7"/>
        <v>11122.223842450887</v>
      </c>
    </row>
    <row r="26" spans="3:8" x14ac:dyDescent="0.3">
      <c r="E26">
        <v>11</v>
      </c>
      <c r="F26" s="35">
        <f t="shared" si="5"/>
        <v>4359.479929359637</v>
      </c>
      <c r="G26" s="35">
        <f t="shared" si="6"/>
        <v>6762.7439130912489</v>
      </c>
      <c r="H26" s="35">
        <f t="shared" si="7"/>
        <v>11122.223842450887</v>
      </c>
    </row>
    <row r="27" spans="3:8" x14ac:dyDescent="0.3">
      <c r="E27">
        <v>12</v>
      </c>
      <c r="F27" s="35">
        <f t="shared" si="5"/>
        <v>4291.8524902287245</v>
      </c>
      <c r="G27" s="35">
        <f t="shared" si="6"/>
        <v>6830.3713522221615</v>
      </c>
      <c r="H27" s="35">
        <f t="shared" si="7"/>
        <v>11122.223842450887</v>
      </c>
    </row>
    <row r="28" spans="3:8" x14ac:dyDescent="0.3">
      <c r="E28">
        <v>13</v>
      </c>
      <c r="F28" s="35">
        <f t="shared" si="5"/>
        <v>4223.5487767065024</v>
      </c>
      <c r="G28" s="35">
        <f t="shared" si="6"/>
        <v>6898.6750657443845</v>
      </c>
      <c r="H28" s="35">
        <f t="shared" si="7"/>
        <v>11122.223842450887</v>
      </c>
    </row>
    <row r="29" spans="3:8" x14ac:dyDescent="0.3">
      <c r="E29">
        <v>14</v>
      </c>
      <c r="F29" s="35">
        <f t="shared" si="5"/>
        <v>4154.5620260490587</v>
      </c>
      <c r="G29" s="35">
        <f t="shared" si="6"/>
        <v>6967.6618164018273</v>
      </c>
      <c r="H29" s="35">
        <f t="shared" si="7"/>
        <v>11122.223842450887</v>
      </c>
    </row>
    <row r="30" spans="3:8" x14ac:dyDescent="0.3">
      <c r="E30">
        <v>15</v>
      </c>
      <c r="F30" s="35">
        <f t="shared" si="5"/>
        <v>4084.8854078850391</v>
      </c>
      <c r="G30" s="35">
        <f t="shared" si="6"/>
        <v>7037.3384345658451</v>
      </c>
      <c r="H30" s="35">
        <f t="shared" si="7"/>
        <v>11122.223842450883</v>
      </c>
    </row>
    <row r="31" spans="3:8" x14ac:dyDescent="0.3">
      <c r="E31">
        <v>16</v>
      </c>
      <c r="F31" s="35">
        <f t="shared" si="5"/>
        <v>4014.5120235393815</v>
      </c>
      <c r="G31" s="35">
        <f t="shared" si="6"/>
        <v>7107.7118189115045</v>
      </c>
      <c r="H31" s="35">
        <f t="shared" si="7"/>
        <v>11122.223842450887</v>
      </c>
    </row>
    <row r="32" spans="3:8" x14ac:dyDescent="0.3">
      <c r="E32">
        <v>17</v>
      </c>
      <c r="F32" s="35">
        <f t="shared" si="5"/>
        <v>3943.4349053502665</v>
      </c>
      <c r="G32" s="35">
        <f t="shared" si="6"/>
        <v>7178.7889371006195</v>
      </c>
      <c r="H32" s="35">
        <f t="shared" si="7"/>
        <v>11122.223842450887</v>
      </c>
    </row>
    <row r="33" spans="5:8" x14ac:dyDescent="0.3">
      <c r="E33">
        <v>18</v>
      </c>
      <c r="F33" s="35">
        <f t="shared" si="5"/>
        <v>3871.6470159792598</v>
      </c>
      <c r="G33" s="35">
        <f t="shared" si="6"/>
        <v>7250.5768264716244</v>
      </c>
      <c r="H33" s="35">
        <f t="shared" si="7"/>
        <v>11122.223842450883</v>
      </c>
    </row>
    <row r="34" spans="5:8" x14ac:dyDescent="0.3">
      <c r="E34">
        <v>19</v>
      </c>
      <c r="F34" s="35">
        <f t="shared" si="5"/>
        <v>3799.1412477145445</v>
      </c>
      <c r="G34" s="35">
        <f t="shared" si="6"/>
        <v>7323.0825947363419</v>
      </c>
      <c r="H34" s="35">
        <f t="shared" si="7"/>
        <v>11122.223842450887</v>
      </c>
    </row>
    <row r="35" spans="5:8" x14ac:dyDescent="0.3">
      <c r="E35">
        <v>20</v>
      </c>
      <c r="F35" s="35">
        <f t="shared" si="5"/>
        <v>3725.9104217671807</v>
      </c>
      <c r="G35" s="35">
        <f t="shared" si="6"/>
        <v>7396.3134206837058</v>
      </c>
      <c r="H35" s="35">
        <f t="shared" si="7"/>
        <v>11122.223842450887</v>
      </c>
    </row>
    <row r="36" spans="5:8" x14ac:dyDescent="0.3">
      <c r="E36">
        <v>21</v>
      </c>
      <c r="F36" s="35">
        <f t="shared" si="5"/>
        <v>3651.9472875603433</v>
      </c>
      <c r="G36" s="35">
        <f t="shared" si="6"/>
        <v>7470.2765548905427</v>
      </c>
      <c r="H36" s="35">
        <f t="shared" si="7"/>
        <v>11122.223842450887</v>
      </c>
    </row>
    <row r="37" spans="5:8" x14ac:dyDescent="0.3">
      <c r="E37">
        <v>22</v>
      </c>
      <c r="F37" s="35">
        <f t="shared" si="5"/>
        <v>3577.2445220114387</v>
      </c>
      <c r="G37" s="35">
        <f t="shared" si="6"/>
        <v>7544.9793204394482</v>
      </c>
      <c r="H37" s="35">
        <f t="shared" si="7"/>
        <v>11122.223842450887</v>
      </c>
    </row>
    <row r="38" spans="5:8" x14ac:dyDescent="0.3">
      <c r="E38">
        <v>23</v>
      </c>
      <c r="F38" s="35">
        <f t="shared" si="5"/>
        <v>3501.7947288070432</v>
      </c>
      <c r="G38" s="35">
        <f t="shared" si="6"/>
        <v>7620.4291136438424</v>
      </c>
      <c r="H38" s="35">
        <f t="shared" si="7"/>
        <v>11122.223842450885</v>
      </c>
    </row>
    <row r="39" spans="5:8" x14ac:dyDescent="0.3">
      <c r="E39">
        <v>24</v>
      </c>
      <c r="F39" s="35">
        <f t="shared" si="5"/>
        <v>3425.5904376706053</v>
      </c>
      <c r="G39" s="35">
        <f t="shared" si="6"/>
        <v>7696.6334047802811</v>
      </c>
      <c r="H39" s="35">
        <f t="shared" si="7"/>
        <v>11122.223842450887</v>
      </c>
    </row>
    <row r="40" spans="5:8" x14ac:dyDescent="0.3">
      <c r="E40">
        <v>25</v>
      </c>
      <c r="F40" s="35">
        <f t="shared" si="5"/>
        <v>3348.6241036228021</v>
      </c>
      <c r="G40" s="35">
        <f t="shared" si="6"/>
        <v>7773.5997388280839</v>
      </c>
      <c r="H40" s="35">
        <f t="shared" si="7"/>
        <v>11122.223842450887</v>
      </c>
    </row>
    <row r="41" spans="5:8" x14ac:dyDescent="0.3">
      <c r="E41">
        <v>26</v>
      </c>
      <c r="F41" s="35">
        <f t="shared" si="5"/>
        <v>3270.8881062345213</v>
      </c>
      <c r="G41" s="35">
        <f t="shared" si="6"/>
        <v>7851.3357362163642</v>
      </c>
      <c r="H41" s="35">
        <f t="shared" si="7"/>
        <v>11122.223842450885</v>
      </c>
    </row>
    <row r="42" spans="5:8" x14ac:dyDescent="0.3">
      <c r="E42">
        <v>27</v>
      </c>
      <c r="F42" s="35">
        <f t="shared" si="5"/>
        <v>3192.3747488723579</v>
      </c>
      <c r="G42" s="35">
        <f t="shared" si="6"/>
        <v>7929.8490935785276</v>
      </c>
      <c r="H42" s="35">
        <f t="shared" si="7"/>
        <v>11122.223842450885</v>
      </c>
    </row>
    <row r="43" spans="5:8" x14ac:dyDescent="0.3">
      <c r="E43">
        <v>28</v>
      </c>
      <c r="F43" s="35">
        <f t="shared" si="5"/>
        <v>3113.0762579365728</v>
      </c>
      <c r="G43" s="35">
        <f t="shared" si="6"/>
        <v>8009.1475845143132</v>
      </c>
      <c r="H43" s="35">
        <f t="shared" si="7"/>
        <v>11122.223842450887</v>
      </c>
    </row>
    <row r="44" spans="5:8" x14ac:dyDescent="0.3">
      <c r="E44">
        <v>29</v>
      </c>
      <c r="F44" s="35">
        <f t="shared" si="5"/>
        <v>3032.9847820914292</v>
      </c>
      <c r="G44" s="35">
        <f t="shared" si="6"/>
        <v>8089.2390603594567</v>
      </c>
      <c r="H44" s="35">
        <f t="shared" si="7"/>
        <v>11122.223842450887</v>
      </c>
    </row>
    <row r="45" spans="5:8" x14ac:dyDescent="0.3">
      <c r="E45">
        <v>30</v>
      </c>
      <c r="F45" s="35">
        <f t="shared" si="5"/>
        <v>2952.0923914878349</v>
      </c>
      <c r="G45" s="35">
        <f t="shared" si="6"/>
        <v>8170.1314509630511</v>
      </c>
      <c r="H45" s="35">
        <f t="shared" si="7"/>
        <v>11122.223842450887</v>
      </c>
    </row>
    <row r="46" spans="5:8" x14ac:dyDescent="0.3">
      <c r="E46">
        <v>31</v>
      </c>
      <c r="F46" s="35">
        <f t="shared" si="5"/>
        <v>2870.3910769782042</v>
      </c>
      <c r="G46" s="35">
        <f t="shared" si="6"/>
        <v>8251.8327654726818</v>
      </c>
      <c r="H46" s="35">
        <f t="shared" si="7"/>
        <v>11122.223842450887</v>
      </c>
    </row>
    <row r="47" spans="5:8" x14ac:dyDescent="0.3">
      <c r="E47">
        <v>32</v>
      </c>
      <c r="F47" s="35">
        <f t="shared" si="5"/>
        <v>2787.8727493234778</v>
      </c>
      <c r="G47" s="35">
        <f t="shared" si="6"/>
        <v>8334.3510931274086</v>
      </c>
      <c r="H47" s="35">
        <f t="shared" si="7"/>
        <v>11122.223842450887</v>
      </c>
    </row>
    <row r="48" spans="5:8" x14ac:dyDescent="0.3">
      <c r="E48">
        <v>33</v>
      </c>
      <c r="F48" s="35">
        <f t="shared" si="5"/>
        <v>2704.5292383922038</v>
      </c>
      <c r="G48" s="35">
        <f t="shared" si="6"/>
        <v>8417.6946040586809</v>
      </c>
      <c r="H48" s="35">
        <f t="shared" si="7"/>
        <v>11122.223842450885</v>
      </c>
    </row>
    <row r="49" spans="5:8" x14ac:dyDescent="0.3">
      <c r="E49">
        <v>34</v>
      </c>
      <c r="F49" s="35">
        <f t="shared" si="5"/>
        <v>2620.3522923516161</v>
      </c>
      <c r="G49" s="35">
        <f t="shared" si="6"/>
        <v>8501.8715500992694</v>
      </c>
      <c r="H49" s="35">
        <f t="shared" si="7"/>
        <v>11122.223842450885</v>
      </c>
    </row>
    <row r="50" spans="5:8" x14ac:dyDescent="0.3">
      <c r="E50">
        <v>35</v>
      </c>
      <c r="F50" s="35">
        <f t="shared" si="5"/>
        <v>2535.3335768506245</v>
      </c>
      <c r="G50" s="35">
        <f t="shared" si="6"/>
        <v>8586.890265600261</v>
      </c>
      <c r="H50" s="35">
        <f t="shared" si="7"/>
        <v>11122.223842450885</v>
      </c>
    </row>
    <row r="51" spans="5:8" x14ac:dyDescent="0.3">
      <c r="E51">
        <v>36</v>
      </c>
      <c r="F51" s="35">
        <f t="shared" si="5"/>
        <v>2449.4646741946212</v>
      </c>
      <c r="G51" s="35">
        <f t="shared" si="6"/>
        <v>8672.7591682562652</v>
      </c>
      <c r="H51" s="35">
        <f t="shared" si="7"/>
        <v>11122.223842450887</v>
      </c>
    </row>
    <row r="52" spans="5:8" x14ac:dyDescent="0.3">
      <c r="E52">
        <v>37</v>
      </c>
      <c r="F52" s="35">
        <f t="shared" si="5"/>
        <v>2362.7370825120584</v>
      </c>
      <c r="G52" s="35">
        <f t="shared" si="6"/>
        <v>8759.4867599388272</v>
      </c>
      <c r="H52" s="35">
        <f t="shared" si="7"/>
        <v>11122.223842450885</v>
      </c>
    </row>
    <row r="53" spans="5:8" x14ac:dyDescent="0.3">
      <c r="E53">
        <v>38</v>
      </c>
      <c r="F53" s="35">
        <f t="shared" si="5"/>
        <v>2275.1422149126702</v>
      </c>
      <c r="G53" s="35">
        <f t="shared" si="6"/>
        <v>8847.0816275382167</v>
      </c>
      <c r="H53" s="35">
        <f t="shared" si="7"/>
        <v>11122.223842450887</v>
      </c>
    </row>
    <row r="54" spans="5:8" x14ac:dyDescent="0.3">
      <c r="E54">
        <v>39</v>
      </c>
      <c r="F54" s="35">
        <f t="shared" si="5"/>
        <v>2186.6713986372883</v>
      </c>
      <c r="G54" s="35">
        <f t="shared" si="6"/>
        <v>8935.5524438135981</v>
      </c>
      <c r="H54" s="35">
        <f t="shared" si="7"/>
        <v>11122.223842450887</v>
      </c>
    </row>
    <row r="55" spans="5:8" x14ac:dyDescent="0.3">
      <c r="E55">
        <v>40</v>
      </c>
      <c r="F55" s="35">
        <f t="shared" si="5"/>
        <v>2097.3158741991519</v>
      </c>
      <c r="G55" s="35">
        <f t="shared" si="6"/>
        <v>9024.9079682517331</v>
      </c>
      <c r="H55" s="35">
        <f t="shared" si="7"/>
        <v>11122.223842450885</v>
      </c>
    </row>
    <row r="56" spans="5:8" x14ac:dyDescent="0.3">
      <c r="E56">
        <v>41</v>
      </c>
      <c r="F56" s="35">
        <f t="shared" si="5"/>
        <v>2007.0667945166349</v>
      </c>
      <c r="G56" s="35">
        <f t="shared" si="6"/>
        <v>9115.1570479342499</v>
      </c>
      <c r="H56" s="35">
        <f t="shared" si="7"/>
        <v>11122.223842450885</v>
      </c>
    </row>
    <row r="57" spans="5:8" x14ac:dyDescent="0.3">
      <c r="E57">
        <v>42</v>
      </c>
      <c r="F57" s="35">
        <f t="shared" si="5"/>
        <v>1915.9152240372921</v>
      </c>
      <c r="G57" s="35">
        <f t="shared" si="6"/>
        <v>9206.3086184135936</v>
      </c>
      <c r="H57" s="35">
        <f t="shared" si="7"/>
        <v>11122.223842450885</v>
      </c>
    </row>
    <row r="58" spans="5:8" x14ac:dyDescent="0.3">
      <c r="E58">
        <v>43</v>
      </c>
      <c r="F58" s="35">
        <f t="shared" si="5"/>
        <v>1823.8521378531561</v>
      </c>
      <c r="G58" s="35">
        <f t="shared" si="6"/>
        <v>9298.3717045977301</v>
      </c>
      <c r="H58" s="35">
        <f t="shared" si="7"/>
        <v>11122.223842450887</v>
      </c>
    </row>
    <row r="59" spans="5:8" x14ac:dyDescent="0.3">
      <c r="E59">
        <v>44</v>
      </c>
      <c r="F59" s="35">
        <f t="shared" si="5"/>
        <v>1730.8684208071788</v>
      </c>
      <c r="G59" s="35">
        <f t="shared" si="6"/>
        <v>9391.355421643706</v>
      </c>
      <c r="H59" s="35">
        <f t="shared" si="7"/>
        <v>11122.223842450885</v>
      </c>
    </row>
    <row r="60" spans="5:8" x14ac:dyDescent="0.3">
      <c r="E60">
        <v>45</v>
      </c>
      <c r="F60" s="35">
        <f t="shared" si="5"/>
        <v>1636.9548665907419</v>
      </c>
      <c r="G60" s="35">
        <f t="shared" si="6"/>
        <v>9485.2689758601446</v>
      </c>
      <c r="H60" s="35">
        <f t="shared" si="7"/>
        <v>11122.223842450887</v>
      </c>
    </row>
    <row r="61" spans="5:8" x14ac:dyDescent="0.3">
      <c r="E61">
        <v>46</v>
      </c>
      <c r="F61" s="35">
        <f t="shared" si="5"/>
        <v>1542.10217683214</v>
      </c>
      <c r="G61" s="35">
        <f t="shared" si="6"/>
        <v>9580.1216656187462</v>
      </c>
      <c r="H61" s="35">
        <f t="shared" si="7"/>
        <v>11122.223842450887</v>
      </c>
    </row>
    <row r="62" spans="5:8" x14ac:dyDescent="0.3">
      <c r="E62">
        <v>47</v>
      </c>
      <c r="F62" s="35">
        <f t="shared" si="5"/>
        <v>1446.3009601759527</v>
      </c>
      <c r="G62" s="35">
        <f t="shared" si="6"/>
        <v>9675.9228822749337</v>
      </c>
      <c r="H62" s="35">
        <f t="shared" si="7"/>
        <v>11122.223842450887</v>
      </c>
    </row>
    <row r="63" spans="5:8" x14ac:dyDescent="0.3">
      <c r="E63">
        <v>48</v>
      </c>
      <c r="F63" s="35">
        <f t="shared" si="5"/>
        <v>1349.5417313532034</v>
      </c>
      <c r="G63" s="35">
        <f t="shared" si="6"/>
        <v>9772.6821110976834</v>
      </c>
      <c r="H63" s="35">
        <f t="shared" si="7"/>
        <v>11122.223842450887</v>
      </c>
    </row>
    <row r="64" spans="5:8" x14ac:dyDescent="0.3">
      <c r="E64">
        <v>49</v>
      </c>
      <c r="F64" s="35">
        <f t="shared" si="5"/>
        <v>1251.8149102422267</v>
      </c>
      <c r="G64" s="35">
        <f t="shared" si="6"/>
        <v>9870.4089322086584</v>
      </c>
      <c r="H64" s="35">
        <f t="shared" si="7"/>
        <v>11122.223842450885</v>
      </c>
    </row>
    <row r="65" spans="5:8" x14ac:dyDescent="0.3">
      <c r="E65">
        <v>50</v>
      </c>
      <c r="F65" s="35">
        <f t="shared" si="5"/>
        <v>1153.11082092014</v>
      </c>
      <c r="G65" s="35">
        <f t="shared" si="6"/>
        <v>9969.1130215307476</v>
      </c>
      <c r="H65" s="35">
        <f t="shared" si="7"/>
        <v>11122.223842450887</v>
      </c>
    </row>
    <row r="66" spans="5:8" x14ac:dyDescent="0.3">
      <c r="E66">
        <v>51</v>
      </c>
      <c r="F66" s="35">
        <f t="shared" si="5"/>
        <v>1053.4196907048324</v>
      </c>
      <c r="G66" s="35">
        <f t="shared" si="6"/>
        <v>10068.804151746053</v>
      </c>
      <c r="H66" s="35">
        <f t="shared" si="7"/>
        <v>11122.223842450885</v>
      </c>
    </row>
    <row r="67" spans="5:8" x14ac:dyDescent="0.3">
      <c r="E67">
        <v>52</v>
      </c>
      <c r="F67" s="35">
        <f t="shared" si="5"/>
        <v>952.731649187372</v>
      </c>
      <c r="G67" s="35">
        <f t="shared" si="6"/>
        <v>10169.492193263515</v>
      </c>
      <c r="H67" s="35">
        <f t="shared" si="7"/>
        <v>11122.223842450887</v>
      </c>
    </row>
    <row r="68" spans="5:8" x14ac:dyDescent="0.3">
      <c r="E68">
        <v>53</v>
      </c>
      <c r="F68" s="35">
        <f t="shared" si="5"/>
        <v>851.03672725473677</v>
      </c>
      <c r="G68" s="35">
        <f t="shared" si="6"/>
        <v>10271.187115196148</v>
      </c>
      <c r="H68" s="35">
        <f t="shared" si="7"/>
        <v>11122.223842450885</v>
      </c>
    </row>
    <row r="69" spans="5:8" x14ac:dyDescent="0.3">
      <c r="E69">
        <v>54</v>
      </c>
      <c r="F69" s="35">
        <f t="shared" si="5"/>
        <v>748.32485610277513</v>
      </c>
      <c r="G69" s="35">
        <f t="shared" si="6"/>
        <v>10373.898986348109</v>
      </c>
      <c r="H69" s="35">
        <f t="shared" si="7"/>
        <v>11122.223842450885</v>
      </c>
    </row>
    <row r="70" spans="5:8" x14ac:dyDescent="0.3">
      <c r="E70">
        <v>55</v>
      </c>
      <c r="F70" s="35">
        <f t="shared" si="5"/>
        <v>644.58586623929409</v>
      </c>
      <c r="G70" s="35">
        <f t="shared" si="6"/>
        <v>10477.637976211592</v>
      </c>
      <c r="H70" s="35">
        <f t="shared" si="7"/>
        <v>11122.223842450887</v>
      </c>
    </row>
    <row r="71" spans="5:8" x14ac:dyDescent="0.3">
      <c r="E71">
        <v>56</v>
      </c>
      <c r="F71" s="35">
        <f t="shared" si="5"/>
        <v>539.8094864771781</v>
      </c>
      <c r="G71" s="35">
        <f t="shared" si="6"/>
        <v>10582.414355973706</v>
      </c>
      <c r="H71" s="35">
        <f t="shared" si="7"/>
        <v>11122.223842450883</v>
      </c>
    </row>
    <row r="72" spans="5:8" x14ac:dyDescent="0.3">
      <c r="E72">
        <v>57</v>
      </c>
      <c r="F72" s="35">
        <f t="shared" si="5"/>
        <v>433.98534291744102</v>
      </c>
      <c r="G72" s="35">
        <f t="shared" si="6"/>
        <v>10688.238499533445</v>
      </c>
      <c r="H72" s="35">
        <f t="shared" si="7"/>
        <v>11122.223842450887</v>
      </c>
    </row>
    <row r="73" spans="5:8" x14ac:dyDescent="0.3">
      <c r="E73">
        <v>58</v>
      </c>
      <c r="F73" s="35">
        <f t="shared" si="5"/>
        <v>327.10295792210661</v>
      </c>
      <c r="G73" s="35">
        <f t="shared" si="6"/>
        <v>10795.12088452878</v>
      </c>
      <c r="H73" s="35">
        <f t="shared" si="7"/>
        <v>11122.223842450887</v>
      </c>
    </row>
    <row r="74" spans="5:8" x14ac:dyDescent="0.3">
      <c r="E74">
        <v>59</v>
      </c>
      <c r="F74" s="35">
        <f t="shared" si="5"/>
        <v>219.15174907681882</v>
      </c>
      <c r="G74" s="35">
        <f t="shared" si="6"/>
        <v>10903.072093374065</v>
      </c>
      <c r="H74" s="35">
        <f t="shared" si="7"/>
        <v>11122.223842450883</v>
      </c>
    </row>
    <row r="75" spans="5:8" x14ac:dyDescent="0.3">
      <c r="E75">
        <v>60</v>
      </c>
      <c r="F75" s="35">
        <f t="shared" si="5"/>
        <v>110.12102814307809</v>
      </c>
      <c r="G75" s="35">
        <f t="shared" si="6"/>
        <v>11012.102814307807</v>
      </c>
      <c r="H75" s="35">
        <f t="shared" si="7"/>
        <v>11122.223842450885</v>
      </c>
    </row>
  </sheetData>
  <sortState ref="A2:F5">
    <sortCondition ref="A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F06DF-9D73-4354-9D39-587C16273163}">
  <sheetPr>
    <tabColor theme="9" tint="0.39997558519241921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730F3-37F7-4BF8-8573-98260C87DF74}">
  <dimension ref="A3:C20"/>
  <sheetViews>
    <sheetView workbookViewId="0">
      <selection activeCell="B2" sqref="B2"/>
    </sheetView>
  </sheetViews>
  <sheetFormatPr defaultRowHeight="14.4" x14ac:dyDescent="0.3"/>
  <sheetData>
    <row r="3" spans="1:3" x14ac:dyDescent="0.3">
      <c r="A3" s="23"/>
      <c r="B3" s="24"/>
      <c r="C3" s="25"/>
    </row>
    <row r="4" spans="1:3" x14ac:dyDescent="0.3">
      <c r="A4" s="26"/>
      <c r="B4" s="27"/>
      <c r="C4" s="28"/>
    </row>
    <row r="5" spans="1:3" x14ac:dyDescent="0.3">
      <c r="A5" s="26"/>
      <c r="B5" s="27"/>
      <c r="C5" s="28"/>
    </row>
    <row r="6" spans="1:3" x14ac:dyDescent="0.3">
      <c r="A6" s="26"/>
      <c r="B6" s="27"/>
      <c r="C6" s="28"/>
    </row>
    <row r="7" spans="1:3" x14ac:dyDescent="0.3">
      <c r="A7" s="26"/>
      <c r="B7" s="27"/>
      <c r="C7" s="28"/>
    </row>
    <row r="8" spans="1:3" x14ac:dyDescent="0.3">
      <c r="A8" s="26"/>
      <c r="B8" s="27"/>
      <c r="C8" s="28"/>
    </row>
    <row r="9" spans="1:3" x14ac:dyDescent="0.3">
      <c r="A9" s="26"/>
      <c r="B9" s="27"/>
      <c r="C9" s="28"/>
    </row>
    <row r="10" spans="1:3" x14ac:dyDescent="0.3">
      <c r="A10" s="26"/>
      <c r="B10" s="27"/>
      <c r="C10" s="28"/>
    </row>
    <row r="11" spans="1:3" x14ac:dyDescent="0.3">
      <c r="A11" s="26"/>
      <c r="B11" s="27"/>
      <c r="C11" s="28"/>
    </row>
    <row r="12" spans="1:3" x14ac:dyDescent="0.3">
      <c r="A12" s="26"/>
      <c r="B12" s="27"/>
      <c r="C12" s="28"/>
    </row>
    <row r="13" spans="1:3" x14ac:dyDescent="0.3">
      <c r="A13" s="26"/>
      <c r="B13" s="27"/>
      <c r="C13" s="28"/>
    </row>
    <row r="14" spans="1:3" x14ac:dyDescent="0.3">
      <c r="A14" s="26"/>
      <c r="B14" s="27"/>
      <c r="C14" s="28"/>
    </row>
    <row r="15" spans="1:3" x14ac:dyDescent="0.3">
      <c r="A15" s="26"/>
      <c r="B15" s="27"/>
      <c r="C15" s="28"/>
    </row>
    <row r="16" spans="1:3" x14ac:dyDescent="0.3">
      <c r="A16" s="26"/>
      <c r="B16" s="27"/>
      <c r="C16" s="28"/>
    </row>
    <row r="17" spans="1:3" x14ac:dyDescent="0.3">
      <c r="A17" s="26"/>
      <c r="B17" s="27"/>
      <c r="C17" s="28"/>
    </row>
    <row r="18" spans="1:3" x14ac:dyDescent="0.3">
      <c r="A18" s="26"/>
      <c r="B18" s="27"/>
      <c r="C18" s="28"/>
    </row>
    <row r="19" spans="1:3" x14ac:dyDescent="0.3">
      <c r="A19" s="26"/>
      <c r="B19" s="27"/>
      <c r="C19" s="28"/>
    </row>
    <row r="20" spans="1:3" x14ac:dyDescent="0.3">
      <c r="A20" s="29"/>
      <c r="B20" s="30"/>
      <c r="C20" s="3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80FE3-AA49-42E1-BCAE-C1457D8B5665}">
  <dimension ref="A1:W61"/>
  <sheetViews>
    <sheetView topLeftCell="B7" zoomScale="130" zoomScaleNormal="130" zoomScalePageLayoutView="115" workbookViewId="0">
      <selection activeCell="J10" sqref="J10"/>
    </sheetView>
  </sheetViews>
  <sheetFormatPr defaultRowHeight="14.4" x14ac:dyDescent="0.3"/>
  <cols>
    <col min="1" max="1" width="15.21875" customWidth="1"/>
    <col min="4" max="4" width="10" customWidth="1"/>
    <col min="7" max="7" width="12.5546875" customWidth="1"/>
    <col min="8" max="8" width="12.88671875" customWidth="1"/>
    <col min="9" max="9" width="11.109375" customWidth="1"/>
  </cols>
  <sheetData>
    <row r="1" spans="1:9" x14ac:dyDescent="0.3">
      <c r="A1" t="s">
        <v>18</v>
      </c>
      <c r="B1" t="s">
        <v>19</v>
      </c>
      <c r="C1" t="s">
        <v>5</v>
      </c>
      <c r="D1" t="s">
        <v>24</v>
      </c>
      <c r="E1" t="s">
        <v>25</v>
      </c>
      <c r="F1" t="s">
        <v>6</v>
      </c>
      <c r="G1" t="s">
        <v>21</v>
      </c>
      <c r="H1" t="s">
        <v>22</v>
      </c>
      <c r="I1" t="s">
        <v>23</v>
      </c>
    </row>
    <row r="2" spans="1:9" x14ac:dyDescent="0.3">
      <c r="A2" t="s">
        <v>20</v>
      </c>
      <c r="B2">
        <v>88</v>
      </c>
      <c r="C2">
        <v>69</v>
      </c>
      <c r="D2">
        <v>34</v>
      </c>
      <c r="E2">
        <v>23</v>
      </c>
      <c r="F2">
        <v>26</v>
      </c>
    </row>
    <row r="3" spans="1:9" x14ac:dyDescent="0.3">
      <c r="A3" t="s">
        <v>3</v>
      </c>
      <c r="B3">
        <v>-78</v>
      </c>
      <c r="C3">
        <v>51</v>
      </c>
      <c r="D3">
        <v>78</v>
      </c>
      <c r="E3">
        <v>65</v>
      </c>
      <c r="F3">
        <v>69</v>
      </c>
    </row>
    <row r="4" spans="1:9" x14ac:dyDescent="0.3">
      <c r="A4" t="s">
        <v>4</v>
      </c>
      <c r="B4">
        <v>78</v>
      </c>
      <c r="C4">
        <v>-54</v>
      </c>
      <c r="D4">
        <v>34</v>
      </c>
      <c r="E4">
        <v>87</v>
      </c>
      <c r="F4">
        <v>66</v>
      </c>
    </row>
    <row r="5" spans="1:9" x14ac:dyDescent="0.3">
      <c r="A5" t="s">
        <v>2</v>
      </c>
      <c r="B5">
        <v>90</v>
      </c>
      <c r="C5">
        <v>36</v>
      </c>
      <c r="D5">
        <v>45</v>
      </c>
      <c r="E5">
        <v>87</v>
      </c>
      <c r="F5">
        <v>62</v>
      </c>
    </row>
    <row r="6" spans="1:9" x14ac:dyDescent="0.3">
      <c r="A6" t="s">
        <v>20</v>
      </c>
      <c r="B6">
        <v>85</v>
      </c>
      <c r="C6">
        <v>-25.5</v>
      </c>
      <c r="D6">
        <v>45</v>
      </c>
      <c r="E6">
        <v>119</v>
      </c>
      <c r="F6">
        <v>82</v>
      </c>
    </row>
    <row r="7" spans="1:9" x14ac:dyDescent="0.3">
      <c r="A7" t="s">
        <v>3</v>
      </c>
      <c r="B7">
        <v>101.2</v>
      </c>
      <c r="C7">
        <v>-45.9</v>
      </c>
      <c r="D7">
        <v>43.9</v>
      </c>
      <c r="E7">
        <v>140.4</v>
      </c>
      <c r="F7">
        <v>92.5</v>
      </c>
    </row>
    <row r="8" spans="1:9" x14ac:dyDescent="0.3">
      <c r="A8" t="s">
        <v>4</v>
      </c>
      <c r="B8">
        <v>117.4</v>
      </c>
      <c r="C8">
        <v>-66.3</v>
      </c>
      <c r="D8">
        <v>42.8</v>
      </c>
      <c r="E8">
        <v>161.80000000000001</v>
      </c>
      <c r="F8">
        <v>103</v>
      </c>
    </row>
    <row r="9" spans="1:9" x14ac:dyDescent="0.3">
      <c r="A9" t="s">
        <v>2</v>
      </c>
      <c r="B9">
        <v>133.6</v>
      </c>
      <c r="C9">
        <v>-86.7</v>
      </c>
      <c r="D9">
        <v>41.7</v>
      </c>
      <c r="E9">
        <v>183.2</v>
      </c>
      <c r="F9">
        <v>113.5</v>
      </c>
    </row>
    <row r="10" spans="1:9" x14ac:dyDescent="0.3">
      <c r="A10" t="s">
        <v>20</v>
      </c>
      <c r="B10">
        <v>149.80000000000001</v>
      </c>
      <c r="C10">
        <v>-107.1</v>
      </c>
      <c r="D10">
        <v>40.6</v>
      </c>
      <c r="E10">
        <v>204.6</v>
      </c>
      <c r="F10">
        <v>124</v>
      </c>
    </row>
    <row r="11" spans="1:9" x14ac:dyDescent="0.3">
      <c r="A11" t="s">
        <v>3</v>
      </c>
      <c r="B11">
        <v>166</v>
      </c>
      <c r="C11">
        <v>-127.5</v>
      </c>
      <c r="D11">
        <v>39.5</v>
      </c>
      <c r="E11">
        <v>226</v>
      </c>
      <c r="F11">
        <v>134.5</v>
      </c>
    </row>
    <row r="12" spans="1:9" x14ac:dyDescent="0.3">
      <c r="A12" t="s">
        <v>4</v>
      </c>
      <c r="B12">
        <v>182.2</v>
      </c>
      <c r="C12">
        <v>-147.9</v>
      </c>
      <c r="D12">
        <v>38.4</v>
      </c>
      <c r="E12">
        <v>247.4</v>
      </c>
      <c r="F12">
        <v>145</v>
      </c>
    </row>
    <row r="13" spans="1:9" x14ac:dyDescent="0.3">
      <c r="A13" t="s">
        <v>2</v>
      </c>
      <c r="B13">
        <v>198.4</v>
      </c>
      <c r="C13">
        <v>-168.3</v>
      </c>
      <c r="D13">
        <v>37.299999999999997</v>
      </c>
      <c r="E13">
        <v>268.8</v>
      </c>
      <c r="F13">
        <v>155.5</v>
      </c>
    </row>
    <row r="14" spans="1:9" x14ac:dyDescent="0.3">
      <c r="A14" t="s">
        <v>20</v>
      </c>
      <c r="B14">
        <v>214.6</v>
      </c>
      <c r="C14">
        <v>-188.7</v>
      </c>
      <c r="D14">
        <v>36.200000000000003</v>
      </c>
      <c r="E14">
        <v>290.2</v>
      </c>
      <c r="F14">
        <v>166</v>
      </c>
    </row>
    <row r="15" spans="1:9" x14ac:dyDescent="0.3">
      <c r="A15" t="s">
        <v>3</v>
      </c>
      <c r="B15">
        <v>230.8</v>
      </c>
      <c r="C15">
        <v>-209.1</v>
      </c>
      <c r="D15">
        <v>35.1</v>
      </c>
      <c r="E15">
        <v>311.60000000000002</v>
      </c>
      <c r="F15">
        <v>176.5</v>
      </c>
    </row>
    <row r="16" spans="1:9" x14ac:dyDescent="0.3">
      <c r="A16" t="s">
        <v>4</v>
      </c>
      <c r="B16">
        <v>247</v>
      </c>
      <c r="C16">
        <v>-229.5</v>
      </c>
      <c r="D16">
        <v>34</v>
      </c>
      <c r="E16">
        <v>333</v>
      </c>
      <c r="F16">
        <v>187</v>
      </c>
    </row>
    <row r="17" spans="1:23" x14ac:dyDescent="0.3">
      <c r="A17" t="s">
        <v>2</v>
      </c>
      <c r="B17">
        <v>263.2</v>
      </c>
      <c r="C17">
        <v>-249.9</v>
      </c>
      <c r="D17">
        <v>32.9</v>
      </c>
      <c r="E17">
        <v>354.4</v>
      </c>
      <c r="F17">
        <v>197.5</v>
      </c>
    </row>
    <row r="18" spans="1:23" x14ac:dyDescent="0.3">
      <c r="A18" t="s">
        <v>20</v>
      </c>
      <c r="B18">
        <v>279.39999999999998</v>
      </c>
      <c r="C18">
        <v>-270.3</v>
      </c>
      <c r="D18">
        <v>31.8</v>
      </c>
      <c r="E18">
        <v>375.8</v>
      </c>
      <c r="F18">
        <v>208</v>
      </c>
    </row>
    <row r="19" spans="1:23" x14ac:dyDescent="0.3">
      <c r="A19" t="s">
        <v>3</v>
      </c>
      <c r="B19">
        <v>295.60000000000002</v>
      </c>
      <c r="C19">
        <v>-290.7</v>
      </c>
      <c r="D19">
        <v>30.7</v>
      </c>
      <c r="E19">
        <v>397.2</v>
      </c>
      <c r="F19">
        <v>218.5</v>
      </c>
    </row>
    <row r="20" spans="1:23" x14ac:dyDescent="0.3">
      <c r="A20" t="s">
        <v>4</v>
      </c>
      <c r="B20">
        <v>311.8</v>
      </c>
      <c r="C20">
        <v>-311.10000000000002</v>
      </c>
      <c r="D20">
        <v>29.6</v>
      </c>
      <c r="E20">
        <v>418.6</v>
      </c>
      <c r="F20">
        <v>229</v>
      </c>
    </row>
    <row r="21" spans="1:23" x14ac:dyDescent="0.3">
      <c r="A21" t="s">
        <v>2</v>
      </c>
      <c r="B21">
        <v>328</v>
      </c>
      <c r="C21">
        <v>-331.5</v>
      </c>
      <c r="D21">
        <v>28.5</v>
      </c>
      <c r="E21">
        <v>440</v>
      </c>
      <c r="F21">
        <v>239.5</v>
      </c>
    </row>
    <row r="22" spans="1:23" x14ac:dyDescent="0.3">
      <c r="A22" t="s">
        <v>20</v>
      </c>
      <c r="B22">
        <v>344.2</v>
      </c>
      <c r="C22">
        <v>-351.9</v>
      </c>
      <c r="D22">
        <v>27.4</v>
      </c>
      <c r="E22">
        <v>461.4</v>
      </c>
      <c r="F22">
        <v>250</v>
      </c>
    </row>
    <row r="23" spans="1:23" x14ac:dyDescent="0.3">
      <c r="A23" t="s">
        <v>3</v>
      </c>
      <c r="B23">
        <v>360.4</v>
      </c>
      <c r="C23">
        <v>-372.3</v>
      </c>
      <c r="D23">
        <v>26.3</v>
      </c>
      <c r="E23">
        <v>482.8</v>
      </c>
      <c r="F23">
        <v>260.5</v>
      </c>
    </row>
    <row r="24" spans="1:23" x14ac:dyDescent="0.3">
      <c r="A24" t="s">
        <v>4</v>
      </c>
      <c r="B24">
        <v>376.6</v>
      </c>
      <c r="C24">
        <v>-392.7</v>
      </c>
      <c r="D24">
        <v>25.2</v>
      </c>
      <c r="E24">
        <v>504.2</v>
      </c>
      <c r="F24">
        <v>271</v>
      </c>
    </row>
    <row r="25" spans="1:23" x14ac:dyDescent="0.3">
      <c r="A25" t="s">
        <v>2</v>
      </c>
      <c r="B25">
        <v>392.8</v>
      </c>
      <c r="C25">
        <v>-413.1</v>
      </c>
      <c r="D25">
        <v>24.1</v>
      </c>
      <c r="E25">
        <v>525.6</v>
      </c>
      <c r="F25">
        <v>281.5</v>
      </c>
    </row>
    <row r="26" spans="1:23" x14ac:dyDescent="0.3">
      <c r="A26" t="s">
        <v>20</v>
      </c>
      <c r="B26">
        <v>409</v>
      </c>
      <c r="C26">
        <v>-433.5</v>
      </c>
      <c r="D26">
        <v>23</v>
      </c>
      <c r="E26">
        <v>547</v>
      </c>
      <c r="F26">
        <v>292</v>
      </c>
    </row>
    <row r="27" spans="1:23" x14ac:dyDescent="0.3">
      <c r="A27" t="s">
        <v>3</v>
      </c>
      <c r="B27">
        <v>425.2</v>
      </c>
      <c r="C27">
        <v>-453.9</v>
      </c>
      <c r="D27">
        <v>21.9</v>
      </c>
      <c r="E27">
        <v>568.4</v>
      </c>
      <c r="F27">
        <v>302.5</v>
      </c>
    </row>
    <row r="28" spans="1:23" x14ac:dyDescent="0.3">
      <c r="A28" t="s">
        <v>4</v>
      </c>
      <c r="B28">
        <v>441.4</v>
      </c>
      <c r="C28">
        <v>-474.3</v>
      </c>
      <c r="D28">
        <v>20.8</v>
      </c>
      <c r="E28">
        <v>589.79999999999995</v>
      </c>
      <c r="F28">
        <v>313</v>
      </c>
    </row>
    <row r="29" spans="1:23" x14ac:dyDescent="0.3">
      <c r="A29" t="s">
        <v>2</v>
      </c>
      <c r="B29">
        <v>457.6</v>
      </c>
      <c r="C29">
        <v>-494.7</v>
      </c>
      <c r="D29">
        <v>19.7</v>
      </c>
      <c r="E29">
        <v>611.20000000000005</v>
      </c>
      <c r="F29">
        <v>323.5</v>
      </c>
    </row>
    <row r="30" spans="1:23" x14ac:dyDescent="0.3">
      <c r="A30" t="s">
        <v>20</v>
      </c>
      <c r="B30">
        <v>473.8</v>
      </c>
      <c r="C30">
        <v>-515.1</v>
      </c>
      <c r="D30">
        <v>18.600000000000001</v>
      </c>
      <c r="E30">
        <v>632.6</v>
      </c>
      <c r="F30">
        <v>334</v>
      </c>
    </row>
    <row r="31" spans="1:23" x14ac:dyDescent="0.3">
      <c r="A31" t="s">
        <v>3</v>
      </c>
      <c r="B31">
        <v>490</v>
      </c>
      <c r="C31">
        <v>-535.5</v>
      </c>
      <c r="D31">
        <v>17.5</v>
      </c>
      <c r="E31">
        <v>654</v>
      </c>
      <c r="F31">
        <v>344.5</v>
      </c>
      <c r="W31">
        <v>89</v>
      </c>
    </row>
    <row r="32" spans="1:23" x14ac:dyDescent="0.3">
      <c r="A32" t="s">
        <v>4</v>
      </c>
      <c r="B32">
        <v>506.2</v>
      </c>
      <c r="C32">
        <v>-555.9</v>
      </c>
      <c r="D32">
        <v>16.399999999999999</v>
      </c>
      <c r="E32">
        <v>675.4</v>
      </c>
      <c r="F32">
        <v>355</v>
      </c>
    </row>
    <row r="33" spans="1:12" x14ac:dyDescent="0.3">
      <c r="A33" t="s">
        <v>2</v>
      </c>
      <c r="B33">
        <v>522.4</v>
      </c>
      <c r="C33">
        <v>-576.29999999999995</v>
      </c>
      <c r="D33">
        <v>15.3</v>
      </c>
      <c r="E33">
        <v>696.8</v>
      </c>
      <c r="F33">
        <v>365.5</v>
      </c>
    </row>
    <row r="34" spans="1:12" x14ac:dyDescent="0.3">
      <c r="A34" t="s">
        <v>20</v>
      </c>
      <c r="B34">
        <v>538.6</v>
      </c>
      <c r="C34">
        <v>-596.70000000000005</v>
      </c>
      <c r="D34">
        <v>14.2</v>
      </c>
      <c r="E34">
        <v>718.2</v>
      </c>
      <c r="F34">
        <v>376</v>
      </c>
    </row>
    <row r="35" spans="1:12" x14ac:dyDescent="0.3">
      <c r="A35" t="s">
        <v>3</v>
      </c>
      <c r="B35">
        <v>554.79999999999995</v>
      </c>
      <c r="C35">
        <v>-617.1</v>
      </c>
      <c r="D35">
        <v>13.1</v>
      </c>
      <c r="E35">
        <v>739.6</v>
      </c>
      <c r="F35">
        <v>386.5</v>
      </c>
    </row>
    <row r="36" spans="1:12" x14ac:dyDescent="0.3">
      <c r="A36" t="s">
        <v>4</v>
      </c>
      <c r="B36">
        <v>571</v>
      </c>
      <c r="C36">
        <v>-637.5</v>
      </c>
      <c r="D36">
        <v>12</v>
      </c>
      <c r="E36">
        <v>761</v>
      </c>
      <c r="F36">
        <v>397</v>
      </c>
    </row>
    <row r="37" spans="1:12" x14ac:dyDescent="0.3">
      <c r="A37" t="s">
        <v>2</v>
      </c>
      <c r="B37">
        <v>587.20000000000005</v>
      </c>
      <c r="C37">
        <v>-657.9</v>
      </c>
      <c r="D37">
        <v>10.9</v>
      </c>
      <c r="E37">
        <v>782.4</v>
      </c>
      <c r="F37">
        <v>407.5</v>
      </c>
    </row>
    <row r="38" spans="1:12" x14ac:dyDescent="0.3">
      <c r="A38" t="s">
        <v>20</v>
      </c>
      <c r="B38">
        <v>603.4</v>
      </c>
      <c r="C38">
        <v>-678.3</v>
      </c>
      <c r="D38">
        <v>9.8000000000000007</v>
      </c>
      <c r="E38">
        <v>803.8</v>
      </c>
      <c r="F38">
        <v>418</v>
      </c>
    </row>
    <row r="39" spans="1:12" x14ac:dyDescent="0.3">
      <c r="A39" t="s">
        <v>3</v>
      </c>
      <c r="B39">
        <v>619.6</v>
      </c>
      <c r="C39">
        <v>-698.7</v>
      </c>
      <c r="D39">
        <v>8.6999999999999993</v>
      </c>
      <c r="E39">
        <v>825.2</v>
      </c>
      <c r="F39">
        <v>428.5</v>
      </c>
    </row>
    <row r="40" spans="1:12" x14ac:dyDescent="0.3">
      <c r="A40" t="s">
        <v>4</v>
      </c>
      <c r="B40">
        <v>635.79999999999995</v>
      </c>
      <c r="C40">
        <v>-719.1</v>
      </c>
      <c r="D40">
        <v>7.6</v>
      </c>
      <c r="E40">
        <v>846.6</v>
      </c>
      <c r="F40">
        <v>439</v>
      </c>
    </row>
    <row r="41" spans="1:12" x14ac:dyDescent="0.3">
      <c r="A41" t="s">
        <v>2</v>
      </c>
      <c r="B41">
        <v>652</v>
      </c>
      <c r="C41">
        <v>-739.5</v>
      </c>
      <c r="D41">
        <v>6.5</v>
      </c>
      <c r="E41">
        <v>868</v>
      </c>
      <c r="F41">
        <v>449.5</v>
      </c>
    </row>
    <row r="42" spans="1:12" x14ac:dyDescent="0.3">
      <c r="A42" t="s">
        <v>20</v>
      </c>
      <c r="B42">
        <v>668.2</v>
      </c>
      <c r="C42">
        <v>-759.9</v>
      </c>
      <c r="D42">
        <v>5.4</v>
      </c>
      <c r="E42">
        <v>889.4</v>
      </c>
      <c r="F42">
        <v>460</v>
      </c>
    </row>
    <row r="43" spans="1:12" x14ac:dyDescent="0.3">
      <c r="A43" t="s">
        <v>3</v>
      </c>
      <c r="B43">
        <v>684.4</v>
      </c>
      <c r="C43">
        <v>-780.3</v>
      </c>
      <c r="D43">
        <v>4.3</v>
      </c>
      <c r="E43">
        <v>910.8</v>
      </c>
      <c r="F43">
        <v>470.5</v>
      </c>
    </row>
    <row r="44" spans="1:12" x14ac:dyDescent="0.3">
      <c r="A44" t="s">
        <v>4</v>
      </c>
      <c r="B44">
        <v>700.6</v>
      </c>
      <c r="C44">
        <v>-800.7</v>
      </c>
      <c r="D44">
        <v>3.2</v>
      </c>
      <c r="E44">
        <v>932.2</v>
      </c>
      <c r="F44">
        <v>481</v>
      </c>
    </row>
    <row r="45" spans="1:12" x14ac:dyDescent="0.3">
      <c r="A45" t="s">
        <v>2</v>
      </c>
      <c r="B45">
        <v>716.8</v>
      </c>
      <c r="C45">
        <v>-821.1</v>
      </c>
      <c r="D45">
        <v>2.1</v>
      </c>
      <c r="E45">
        <v>953.6</v>
      </c>
      <c r="F45">
        <v>491.5</v>
      </c>
    </row>
    <row r="46" spans="1:12" x14ac:dyDescent="0.3">
      <c r="A46" t="s">
        <v>20</v>
      </c>
      <c r="B46">
        <v>733</v>
      </c>
      <c r="C46">
        <v>-841.5</v>
      </c>
      <c r="D46">
        <v>1</v>
      </c>
      <c r="E46">
        <v>975</v>
      </c>
      <c r="F46">
        <v>502</v>
      </c>
    </row>
    <row r="47" spans="1:12" x14ac:dyDescent="0.3">
      <c r="A47" t="s">
        <v>3</v>
      </c>
      <c r="B47">
        <v>749.2</v>
      </c>
      <c r="C47">
        <v>-861.9</v>
      </c>
      <c r="D47">
        <v>-0.100000000000001</v>
      </c>
      <c r="E47">
        <v>996.4</v>
      </c>
      <c r="F47">
        <v>512.5</v>
      </c>
    </row>
    <row r="48" spans="1:12" x14ac:dyDescent="0.3">
      <c r="A48" t="s">
        <v>4</v>
      </c>
      <c r="B48">
        <v>765.4</v>
      </c>
      <c r="C48">
        <v>-882.3</v>
      </c>
      <c r="D48">
        <v>-1.2</v>
      </c>
      <c r="E48">
        <v>1017.8</v>
      </c>
      <c r="F48">
        <v>523</v>
      </c>
      <c r="L48">
        <v>56</v>
      </c>
    </row>
    <row r="49" spans="1:22" x14ac:dyDescent="0.3">
      <c r="A49" t="s">
        <v>2</v>
      </c>
      <c r="B49">
        <v>781.6</v>
      </c>
      <c r="C49">
        <v>-902.7</v>
      </c>
      <c r="D49">
        <v>-2.2999999999999998</v>
      </c>
      <c r="E49">
        <v>1039.2</v>
      </c>
      <c r="F49">
        <v>533.5</v>
      </c>
    </row>
    <row r="50" spans="1:22" x14ac:dyDescent="0.3">
      <c r="A50" t="s">
        <v>20</v>
      </c>
      <c r="B50">
        <v>797.8</v>
      </c>
      <c r="C50">
        <v>-923.1</v>
      </c>
      <c r="D50">
        <v>-3.4</v>
      </c>
      <c r="E50">
        <v>1060.5999999999999</v>
      </c>
      <c r="F50">
        <v>544</v>
      </c>
    </row>
    <row r="51" spans="1:22" x14ac:dyDescent="0.3">
      <c r="A51" t="s">
        <v>3</v>
      </c>
      <c r="B51">
        <v>814</v>
      </c>
      <c r="C51">
        <v>-943.5</v>
      </c>
      <c r="D51">
        <v>-4.4999999999998996</v>
      </c>
      <c r="E51">
        <v>1082</v>
      </c>
      <c r="F51">
        <v>554.5</v>
      </c>
    </row>
    <row r="52" spans="1:22" x14ac:dyDescent="0.3">
      <c r="A52" t="s">
        <v>4</v>
      </c>
      <c r="B52">
        <v>830.2</v>
      </c>
      <c r="C52">
        <v>-963.9</v>
      </c>
      <c r="D52">
        <v>-5.6</v>
      </c>
      <c r="E52">
        <v>1103.4000000000001</v>
      </c>
      <c r="F52">
        <v>565</v>
      </c>
    </row>
    <row r="53" spans="1:22" x14ac:dyDescent="0.3">
      <c r="A53" t="s">
        <v>2</v>
      </c>
      <c r="B53">
        <v>846.4</v>
      </c>
      <c r="C53">
        <v>-984.3</v>
      </c>
      <c r="D53">
        <v>-6.6999999999998998</v>
      </c>
      <c r="E53">
        <v>1124.8</v>
      </c>
      <c r="F53">
        <v>575.5</v>
      </c>
      <c r="V53">
        <v>78</v>
      </c>
    </row>
    <row r="54" spans="1:22" x14ac:dyDescent="0.3">
      <c r="B54">
        <v>862.6</v>
      </c>
      <c r="C54">
        <v>-1004.7</v>
      </c>
      <c r="D54">
        <v>-7.8</v>
      </c>
      <c r="E54">
        <v>1146.2</v>
      </c>
      <c r="F54">
        <v>586</v>
      </c>
    </row>
    <row r="55" spans="1:22" x14ac:dyDescent="0.3">
      <c r="B55">
        <v>878.8</v>
      </c>
      <c r="C55">
        <v>-1025.0999999999999</v>
      </c>
      <c r="D55">
        <v>-8.9</v>
      </c>
      <c r="E55">
        <v>1167.5999999999999</v>
      </c>
      <c r="F55">
        <v>596.5</v>
      </c>
    </row>
    <row r="56" spans="1:22" x14ac:dyDescent="0.3">
      <c r="B56">
        <v>895.00000000000102</v>
      </c>
      <c r="C56">
        <v>-1045.5</v>
      </c>
      <c r="D56">
        <v>-10</v>
      </c>
      <c r="E56">
        <v>1189</v>
      </c>
      <c r="F56">
        <v>607</v>
      </c>
    </row>
    <row r="57" spans="1:22" x14ac:dyDescent="0.3">
      <c r="B57">
        <v>911.20000000000095</v>
      </c>
      <c r="C57">
        <v>-1065.9000000000001</v>
      </c>
      <c r="D57">
        <v>-11.1</v>
      </c>
      <c r="E57">
        <v>1210.4000000000001</v>
      </c>
      <c r="F57">
        <v>617.5</v>
      </c>
    </row>
    <row r="58" spans="1:22" x14ac:dyDescent="0.3">
      <c r="B58">
        <v>927.400000000001</v>
      </c>
      <c r="C58">
        <v>-1086.3</v>
      </c>
      <c r="D58">
        <v>-12.2</v>
      </c>
      <c r="E58">
        <v>1231.8</v>
      </c>
      <c r="F58">
        <v>628</v>
      </c>
    </row>
    <row r="59" spans="1:22" x14ac:dyDescent="0.3">
      <c r="B59">
        <v>943.60000000000105</v>
      </c>
      <c r="C59">
        <v>-1106.7</v>
      </c>
      <c r="D59">
        <v>-13.3</v>
      </c>
      <c r="E59">
        <v>1253.2</v>
      </c>
      <c r="F59">
        <v>638.5</v>
      </c>
    </row>
    <row r="60" spans="1:22" x14ac:dyDescent="0.3">
      <c r="B60">
        <v>959.80000000000098</v>
      </c>
      <c r="C60">
        <v>-1127.0999999999999</v>
      </c>
      <c r="D60">
        <v>-14.4</v>
      </c>
      <c r="E60">
        <v>1274.5999999999999</v>
      </c>
      <c r="F60">
        <v>649</v>
      </c>
    </row>
    <row r="61" spans="1:22" x14ac:dyDescent="0.3">
      <c r="B61">
        <v>976.00000000000102</v>
      </c>
      <c r="C61">
        <v>-1147.5</v>
      </c>
      <c r="D61">
        <v>-15.5</v>
      </c>
      <c r="E61">
        <v>1296</v>
      </c>
      <c r="F61">
        <v>659.5</v>
      </c>
    </row>
  </sheetData>
  <printOptions headings="1" gridLines="1"/>
  <pageMargins left="0.25" right="0.25" top="0.75" bottom="0.75" header="0.3" footer="0.3"/>
  <pageSetup scale="75" fitToWidth="0" fitToHeight="0" orientation="landscape" r:id="rId1"/>
  <headerFooter differentOddEven="1" differentFirst="1">
    <oddHeader>&amp;L&amp;G
&amp;C&amp;P 
&amp;R&amp;F</oddHeader>
    <oddFooter>&amp;CPage: &amp;P  &amp;D&amp;T</oddFooter>
  </headerFooter>
  <drawing r:id="rId2"/>
  <legacyDrawing r:id="rId3"/>
  <legacyDrawingHF r:id="rId4"/>
  <oleObjects>
    <mc:AlternateContent xmlns:mc="http://schemas.openxmlformats.org/markup-compatibility/2006">
      <mc:Choice Requires="x14">
        <oleObject progId="Wordpad.Document.1" shapeId="2050" r:id="rId5">
          <objectPr defaultSize="0" r:id="rId6">
            <anchor moveWithCells="1">
              <from>
                <xdr:col>6</xdr:col>
                <xdr:colOff>487680</xdr:colOff>
                <xdr:row>21</xdr:row>
                <xdr:rowOff>53340</xdr:rowOff>
              </from>
              <to>
                <xdr:col>14</xdr:col>
                <xdr:colOff>411480</xdr:colOff>
                <xdr:row>24</xdr:row>
                <xdr:rowOff>137160</xdr:rowOff>
              </to>
            </anchor>
          </objectPr>
        </oleObject>
      </mc:Choice>
      <mc:Fallback>
        <oleObject progId="Wordpad.Document.1" shapeId="2050" r:id="rId5"/>
      </mc:Fallback>
    </mc:AlternateContent>
  </oleObjec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first="1" last="1" xr2:uid="{D5D1413F-245D-40B6-84D8-ADAFD91C2CCD}">
          <x14:colorSeries theme="2"/>
          <x14:colorNegative rgb="FFD00000"/>
          <x14:colorAxis rgb="FF000000"/>
          <x14:colorMarkers rgb="FFD00000"/>
          <x14:colorFirst rgb="FFFFFF00"/>
          <x14:colorLast rgb="FF00B0F0"/>
          <x14:colorHigh rgb="FF00B050"/>
          <x14:colorLow rgb="FFD00000"/>
          <x14:sparklines>
            <x14:sparkline>
              <xm:f>Sheet3!B2:F2</xm:f>
              <xm:sqref>G2</xm:sqref>
            </x14:sparkline>
            <x14:sparkline>
              <xm:f>Sheet3!B3:F3</xm:f>
              <xm:sqref>G3</xm:sqref>
            </x14:sparkline>
            <x14:sparkline>
              <xm:f>Sheet3!B4:F4</xm:f>
              <xm:sqref>G4</xm:sqref>
            </x14:sparkline>
            <x14:sparkline>
              <xm:f>Sheet3!B5:F5</xm:f>
              <xm:sqref>G5</xm:sqref>
            </x14:sparkline>
          </x14:sparklines>
        </x14:sparklineGroup>
        <x14:sparklineGroup type="column" displayEmptyCellsAs="gap" xr2:uid="{255D25F6-1B70-4BED-97F2-4D6029685FA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Sheet3!B2:F2</xm:f>
              <xm:sqref>H2</xm:sqref>
            </x14:sparkline>
            <x14:sparkline>
              <xm:f>Sheet3!B3:F3</xm:f>
              <xm:sqref>H3</xm:sqref>
            </x14:sparkline>
            <x14:sparkline>
              <xm:f>Sheet3!B4:F4</xm:f>
              <xm:sqref>H4</xm:sqref>
            </x14:sparkline>
            <x14:sparkline>
              <xm:f>Sheet3!B5:F5</xm:f>
              <xm:sqref>H5</xm:sqref>
            </x14:sparkline>
          </x14:sparklines>
        </x14:sparklineGroup>
        <x14:sparklineGroup displayEmptyCellsAs="gap" negative="1" xr2:uid="{B51A2112-B49E-4408-937F-E15C2381AB7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Sheet3!B2:F2</xm:f>
              <xm:sqref>I2</xm:sqref>
            </x14:sparkline>
            <x14:sparkline>
              <xm:f>Sheet3!B3:F3</xm:f>
              <xm:sqref>I3</xm:sqref>
            </x14:sparkline>
            <x14:sparkline>
              <xm:f>Sheet3!B4:F4</xm:f>
              <xm:sqref>I4</xm:sqref>
            </x14:sparkline>
            <x14:sparkline>
              <xm:f>Sheet3!B5:F5</xm:f>
              <xm:sqref>I5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8FAD3-14C7-446E-BB3C-EA5DC87876AB}">
  <dimension ref="A1:J18"/>
  <sheetViews>
    <sheetView tabSelected="1" topLeftCell="A10" zoomScale="160" zoomScaleNormal="160" workbookViewId="0">
      <selection activeCell="F20" sqref="F20"/>
    </sheetView>
  </sheetViews>
  <sheetFormatPr defaultRowHeight="14.4" x14ac:dyDescent="0.3"/>
  <cols>
    <col min="4" max="4" width="11.109375" bestFit="1" customWidth="1"/>
    <col min="5" max="5" width="11.88671875" bestFit="1" customWidth="1"/>
    <col min="6" max="6" width="13.88671875" bestFit="1" customWidth="1"/>
    <col min="7" max="7" width="11.33203125" bestFit="1" customWidth="1"/>
    <col min="8" max="8" width="7" bestFit="1" customWidth="1"/>
    <col min="9" max="9" width="13.21875" bestFit="1" customWidth="1"/>
    <col min="10" max="10" width="9.77734375" bestFit="1" customWidth="1"/>
  </cols>
  <sheetData>
    <row r="1" spans="1:10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</row>
    <row r="2" spans="1:10" x14ac:dyDescent="0.3">
      <c r="A2">
        <v>2</v>
      </c>
      <c r="B2">
        <v>4</v>
      </c>
      <c r="C2">
        <v>6</v>
      </c>
      <c r="D2">
        <v>8</v>
      </c>
      <c r="E2">
        <v>10</v>
      </c>
      <c r="F2">
        <v>12</v>
      </c>
      <c r="G2">
        <v>14</v>
      </c>
      <c r="H2">
        <v>16</v>
      </c>
      <c r="I2">
        <v>18</v>
      </c>
    </row>
    <row r="3" spans="1:10" x14ac:dyDescent="0.3">
      <c r="A3">
        <v>3</v>
      </c>
      <c r="B3">
        <v>6</v>
      </c>
      <c r="C3">
        <v>9</v>
      </c>
      <c r="D3">
        <v>12</v>
      </c>
      <c r="E3">
        <v>15</v>
      </c>
      <c r="F3">
        <v>18</v>
      </c>
      <c r="G3">
        <v>21</v>
      </c>
      <c r="H3">
        <v>24</v>
      </c>
      <c r="I3">
        <v>27</v>
      </c>
    </row>
    <row r="4" spans="1:10" x14ac:dyDescent="0.3">
      <c r="A4">
        <v>4</v>
      </c>
      <c r="B4">
        <v>8</v>
      </c>
      <c r="C4">
        <v>12</v>
      </c>
      <c r="D4">
        <v>16</v>
      </c>
      <c r="E4">
        <v>20</v>
      </c>
      <c r="F4">
        <v>24</v>
      </c>
      <c r="G4">
        <v>28</v>
      </c>
      <c r="H4">
        <v>32</v>
      </c>
      <c r="I4">
        <v>36</v>
      </c>
    </row>
    <row r="5" spans="1:10" x14ac:dyDescent="0.3">
      <c r="A5">
        <v>5</v>
      </c>
      <c r="B5">
        <v>10</v>
      </c>
      <c r="C5">
        <v>15</v>
      </c>
      <c r="D5">
        <v>20</v>
      </c>
      <c r="E5">
        <v>25</v>
      </c>
      <c r="F5">
        <v>30</v>
      </c>
      <c r="G5">
        <v>35</v>
      </c>
      <c r="H5">
        <v>40</v>
      </c>
      <c r="I5">
        <v>45</v>
      </c>
    </row>
    <row r="6" spans="1:10" x14ac:dyDescent="0.3">
      <c r="A6">
        <v>6</v>
      </c>
      <c r="B6">
        <v>12</v>
      </c>
      <c r="C6">
        <v>18</v>
      </c>
      <c r="D6">
        <v>24</v>
      </c>
      <c r="E6">
        <v>30</v>
      </c>
      <c r="F6">
        <v>36</v>
      </c>
      <c r="G6">
        <v>42</v>
      </c>
      <c r="H6">
        <v>48</v>
      </c>
      <c r="I6">
        <v>54</v>
      </c>
    </row>
    <row r="7" spans="1:10" x14ac:dyDescent="0.3">
      <c r="A7">
        <v>7</v>
      </c>
      <c r="B7">
        <v>14</v>
      </c>
      <c r="C7">
        <v>21</v>
      </c>
      <c r="D7">
        <v>28</v>
      </c>
      <c r="E7">
        <v>35</v>
      </c>
      <c r="F7">
        <v>42</v>
      </c>
      <c r="G7">
        <v>49</v>
      </c>
      <c r="H7">
        <v>56</v>
      </c>
      <c r="I7">
        <v>63</v>
      </c>
    </row>
    <row r="8" spans="1:10" x14ac:dyDescent="0.3">
      <c r="A8">
        <v>8</v>
      </c>
      <c r="B8">
        <v>16</v>
      </c>
      <c r="C8">
        <v>24</v>
      </c>
      <c r="D8">
        <v>32</v>
      </c>
      <c r="E8">
        <v>40</v>
      </c>
      <c r="F8">
        <v>48</v>
      </c>
      <c r="G8">
        <v>56</v>
      </c>
      <c r="H8">
        <v>64</v>
      </c>
      <c r="I8">
        <v>72</v>
      </c>
    </row>
    <row r="9" spans="1:10" x14ac:dyDescent="0.3">
      <c r="A9">
        <v>9</v>
      </c>
      <c r="B9">
        <v>18</v>
      </c>
      <c r="C9">
        <v>27</v>
      </c>
      <c r="D9">
        <v>36</v>
      </c>
      <c r="E9">
        <v>45</v>
      </c>
      <c r="F9">
        <v>54</v>
      </c>
      <c r="G9">
        <v>63</v>
      </c>
      <c r="H9">
        <v>72</v>
      </c>
      <c r="I9">
        <v>81</v>
      </c>
      <c r="J9" t="s">
        <v>20</v>
      </c>
    </row>
    <row r="10" spans="1:10" x14ac:dyDescent="0.3">
      <c r="A10">
        <v>10</v>
      </c>
      <c r="B10">
        <v>20</v>
      </c>
      <c r="C10">
        <v>30</v>
      </c>
      <c r="D10">
        <v>40</v>
      </c>
      <c r="E10">
        <v>50</v>
      </c>
      <c r="F10">
        <v>60</v>
      </c>
      <c r="G10">
        <v>70</v>
      </c>
      <c r="H10">
        <v>80</v>
      </c>
      <c r="I10">
        <v>90</v>
      </c>
    </row>
    <row r="11" spans="1:10" x14ac:dyDescent="0.3">
      <c r="D11" t="s">
        <v>31</v>
      </c>
      <c r="E11" t="s">
        <v>32</v>
      </c>
      <c r="F11" t="s">
        <v>33</v>
      </c>
      <c r="G11" t="s">
        <v>34</v>
      </c>
      <c r="H11" t="s">
        <v>35</v>
      </c>
      <c r="I11" t="s">
        <v>36</v>
      </c>
    </row>
    <row r="12" spans="1:10" ht="15" x14ac:dyDescent="0.35">
      <c r="B12" t="s">
        <v>26</v>
      </c>
      <c r="C12" t="s">
        <v>29</v>
      </c>
      <c r="D12" t="str">
        <f>PROPER(C12)</f>
        <v>Kumar</v>
      </c>
      <c r="E12" t="str">
        <f>_xlfn.CONCAT(B12," ",D12)</f>
        <v>Sumit Kumar</v>
      </c>
      <c r="F12" t="str">
        <f>UPPER(E12)</f>
        <v>SUMIT KUMAR</v>
      </c>
      <c r="G12" t="str">
        <f>LOWER(E12)</f>
        <v>sumit kumar</v>
      </c>
      <c r="H12">
        <f>LEN(F12)</f>
        <v>11</v>
      </c>
      <c r="I12" t="str">
        <f>REPLACE(F12,7,5,"Temp")</f>
        <v>SUMIT Temp</v>
      </c>
      <c r="J12" s="32" t="str">
        <f ca="1">TEXT(TODAY(),"MM/DD/YY")</f>
        <v>11/19/25</v>
      </c>
    </row>
    <row r="13" spans="1:10" x14ac:dyDescent="0.3">
      <c r="B13" t="s">
        <v>10</v>
      </c>
      <c r="C13" t="s">
        <v>30</v>
      </c>
      <c r="D13" t="str">
        <f t="shared" ref="D13:D14" si="0">PROPER(C13)</f>
        <v>Yadav</v>
      </c>
      <c r="E13" t="str">
        <f t="shared" ref="E13:E14" si="1">_xlfn.CONCAT(B13," ",D13)</f>
        <v>Aman Yadav</v>
      </c>
      <c r="F13" t="str">
        <f t="shared" ref="F13:F14" si="2">UPPER(E13)</f>
        <v>AMAN YADAV</v>
      </c>
      <c r="G13" t="str">
        <f t="shared" ref="G13:G14" si="3">LOWER(E13)</f>
        <v>aman yadav</v>
      </c>
      <c r="H13">
        <f t="shared" ref="H13:H14" si="4">LEN(F13)</f>
        <v>10</v>
      </c>
      <c r="I13" t="str">
        <f t="shared" ref="I13:I14" si="5">REPLACE(F13,7,5,"Temp")</f>
        <v>AMAN YTemp</v>
      </c>
      <c r="J13" s="33">
        <f ca="1">TODAY()</f>
        <v>45980</v>
      </c>
    </row>
    <row r="14" spans="1:10" x14ac:dyDescent="0.3">
      <c r="B14" t="s">
        <v>27</v>
      </c>
      <c r="C14" t="s">
        <v>28</v>
      </c>
      <c r="D14" t="str">
        <f t="shared" si="0"/>
        <v>Singh</v>
      </c>
      <c r="E14" t="str">
        <f t="shared" si="1"/>
        <v>Sanu Singh</v>
      </c>
      <c r="F14" t="str">
        <f t="shared" si="2"/>
        <v>SANU SINGH</v>
      </c>
      <c r="G14" t="str">
        <f t="shared" si="3"/>
        <v>sanu singh</v>
      </c>
      <c r="H14">
        <f t="shared" si="4"/>
        <v>10</v>
      </c>
      <c r="I14" t="str">
        <f t="shared" si="5"/>
        <v>SANU STemp</v>
      </c>
    </row>
    <row r="15" spans="1:10" x14ac:dyDescent="0.3">
      <c r="J15" t="str">
        <f>TEXT(3456,"0000")</f>
        <v>3456</v>
      </c>
    </row>
    <row r="16" spans="1:10" x14ac:dyDescent="0.3">
      <c r="D16">
        <f>CODE("a")</f>
        <v>97</v>
      </c>
      <c r="F16" t="str">
        <f>CHAR(97)</f>
        <v>a</v>
      </c>
      <c r="J16">
        <v>3456</v>
      </c>
    </row>
    <row r="17" spans="4:6" x14ac:dyDescent="0.3">
      <c r="D17">
        <f>CODE("*")</f>
        <v>42</v>
      </c>
      <c r="F17" t="s">
        <v>37</v>
      </c>
    </row>
    <row r="18" spans="4:6" x14ac:dyDescent="0.3">
      <c r="F18" t="str">
        <f>TRIM(F17)</f>
        <v>Aman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MarkSheet</vt:lpstr>
      <vt:lpstr>Students</vt:lpstr>
      <vt:lpstr>Sheet1</vt:lpstr>
      <vt:lpstr>Sheet3</vt:lpstr>
      <vt:lpstr>Sheet5</vt:lpstr>
      <vt:lpstr>Sheet3!Print_Area</vt:lpstr>
      <vt:lpstr>Sheet3!Print_Titles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Katheriya</dc:creator>
  <cp:lastModifiedBy>pc</cp:lastModifiedBy>
  <cp:lastPrinted>2025-11-17T11:45:55Z</cp:lastPrinted>
  <dcterms:created xsi:type="dcterms:W3CDTF">2015-06-05T18:17:20Z</dcterms:created>
  <dcterms:modified xsi:type="dcterms:W3CDTF">2025-11-19T11:49:50Z</dcterms:modified>
</cp:coreProperties>
</file>