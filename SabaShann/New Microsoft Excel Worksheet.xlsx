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ndeep_C Language_Classes\SabaShann\"/>
    </mc:Choice>
  </mc:AlternateContent>
  <xr:revisionPtr revIDLastSave="0" documentId="13_ncr:1_{8355A073-21F0-4D43-974C-A473EE2A09E2}" xr6:coauthVersionLast="36" xr6:coauthVersionMax="36" xr10:uidLastSave="{00000000-0000-0000-0000-000000000000}"/>
  <bookViews>
    <workbookView xWindow="0" yWindow="0" windowWidth="22260" windowHeight="12648" activeTab="9" xr2:uid="{00000000-000D-0000-FFFF-FFFF00000000}"/>
  </bookViews>
  <sheets>
    <sheet name="Sheet1" sheetId="1" r:id="rId1"/>
    <sheet name="Sheet15" sheetId="15" r:id="rId2"/>
    <sheet name="Sheet16" sheetId="16" r:id="rId3"/>
    <sheet name="Sheet2" sheetId="2" r:id="rId4"/>
    <sheet name="Sheet3" sheetId="3" r:id="rId5"/>
    <sheet name="Sheet7" sheetId="7" r:id="rId6"/>
    <sheet name="Sheet5" sheetId="5" r:id="rId7"/>
    <sheet name="Sheet10" sheetId="10" r:id="rId8"/>
    <sheet name="Sheet4" sheetId="4" r:id="rId9"/>
    <sheet name="Sheet8" sheetId="8" r:id="rId10"/>
    <sheet name="Sheet9" sheetId="9" r:id="rId11"/>
    <sheet name="Sheet6" sheetId="6" r:id="rId12"/>
    <sheet name="Sheet12" sheetId="12" r:id="rId13"/>
    <sheet name="Sheet14" sheetId="14" r:id="rId14"/>
    <sheet name="Sheet13" sheetId="13" r:id="rId15"/>
    <sheet name="Sheet11" sheetId="11" r:id="rId16"/>
  </sheets>
  <definedNames>
    <definedName name="Chemestry">Sheet2!$D$2:$D$5</definedName>
    <definedName name="ExternalData_1" localSheetId="12" hidden="1">Sheet12!$A$1:$C$45</definedName>
    <definedName name="ExternalData_1" localSheetId="13" hidden="1">Sheet14!$A$1:$C$3</definedName>
    <definedName name="ExternalData_1" localSheetId="1" hidden="1">Sheet15!$A$1:$E$6</definedName>
    <definedName name="ExternalData_1" localSheetId="2" hidden="1">Sheet16!$A$1:$G$5</definedName>
    <definedName name="Maths">Sheet2!$B$2:$B$5</definedName>
    <definedName name="Name">Sheet2!$A$2:$A$5</definedName>
    <definedName name="Physics">Sheet2!$C$2:$C$5</definedName>
    <definedName name="Total">Sheet2!$E$2:$E$5</definedName>
    <definedName name="Total1">Sheet2!$F$2:$F$5</definedName>
  </definedNames>
  <calcPr calcId="191029" calcMode="manual"/>
  <pivotCaches>
    <pivotCache cacheId="5" r:id="rId17"/>
    <pivotCache cacheId="9" r:id="rId18"/>
    <pivotCache cacheId="12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6" i="5" l="1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F13" i="4"/>
  <c r="G2" i="2" l="1"/>
  <c r="G4" i="2"/>
  <c r="G3" i="2"/>
  <c r="G5" i="2"/>
  <c r="D50" i="3"/>
  <c r="F5" i="3"/>
  <c r="E3" i="3"/>
  <c r="F3" i="3" s="1"/>
  <c r="E4" i="3"/>
  <c r="F4" i="3" s="1"/>
  <c r="E5" i="3"/>
  <c r="E2" i="3"/>
  <c r="F2" i="3" s="1"/>
  <c r="G16" i="2"/>
  <c r="H11" i="2"/>
  <c r="E3" i="1" l="1"/>
  <c r="E4" i="1"/>
  <c r="E5" i="1"/>
  <c r="E2" i="1"/>
  <c r="F2" i="2"/>
  <c r="F4" i="2"/>
  <c r="F3" i="2"/>
  <c r="F5" i="2"/>
  <c r="E3" i="2"/>
  <c r="E4" i="2"/>
  <c r="E2" i="2"/>
  <c r="E5" i="2"/>
  <c r="G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A2B09-58BF-49CC-A568-840EDBCEBB23}" keepAlive="1" name="Query - New Text Document" description="Connection to the 'New Text Document' query in the workbook." type="5" refreshedVersion="6" background="1" saveData="1">
    <dbPr connection="Provider=Microsoft.Mashup.OleDb.1;Data Source=$Workbook$;Location=New Text Document;Extended Properties=&quot;&quot;" command="SELECT * FROM [New Text Document]"/>
  </connection>
  <connection id="2" xr16:uid="{62D3187C-37C8-4889-BE90-6E934C2B8A78}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  <connection id="3" xr16:uid="{E5E88775-A945-46DE-96B7-9815FD8A67F4}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  <connection id="4" xr16:uid="{A2DCD380-6E6B-4966-9D1E-A6663E978DD7}" keepAlive="1" name="Query - Table5 (2)" description="Connection to the 'Table5 (2)' query in the workbook." type="5" refreshedVersion="6" background="1" saveData="1">
    <dbPr connection="Provider=Microsoft.Mashup.OleDb.1;Data Source=$Workbook$;Location=Table5 (2);Extended Properties=&quot;&quot;" command="SELECT * FROM [Table5 (2)]"/>
  </connection>
  <connection id="5" xr16:uid="{C638219B-1CED-4C48-B861-9C4EF2FB053D}" keepAlive="1" name="Query - Table7" description="Connection to the 'Table7' query in the workbook." type="5" refreshedVersion="6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<sst xmlns="http://schemas.openxmlformats.org/spreadsheetml/2006/main" count="430" uniqueCount="136">
  <si>
    <t>Name</t>
  </si>
  <si>
    <t>Shubham</t>
  </si>
  <si>
    <t>Neeraj</t>
  </si>
  <si>
    <t>Shaan</t>
  </si>
  <si>
    <t>Saba</t>
  </si>
  <si>
    <t>Maths</t>
  </si>
  <si>
    <t>Physics</t>
  </si>
  <si>
    <t>Chemestry</t>
  </si>
  <si>
    <t>Total</t>
  </si>
  <si>
    <t>Total1</t>
  </si>
  <si>
    <t>Result</t>
  </si>
  <si>
    <t>Total4</t>
  </si>
  <si>
    <t>MobileNumber</t>
  </si>
  <si>
    <t>hkjhkl</t>
  </si>
  <si>
    <t>Emp-ID</t>
  </si>
  <si>
    <t>Staff</t>
  </si>
  <si>
    <t>Designation</t>
  </si>
  <si>
    <t>Basic Pay</t>
  </si>
  <si>
    <t>Age</t>
  </si>
  <si>
    <t>Working State</t>
  </si>
  <si>
    <t>Working Department</t>
  </si>
  <si>
    <t>Sales</t>
  </si>
  <si>
    <t>Rajesh</t>
  </si>
  <si>
    <t>Sales Executive</t>
  </si>
  <si>
    <t>Punjab</t>
  </si>
  <si>
    <t>Grocery</t>
  </si>
  <si>
    <t>Mahesh</t>
  </si>
  <si>
    <t>Uttar Pradesh</t>
  </si>
  <si>
    <t>Garments</t>
  </si>
  <si>
    <t>Suresh</t>
  </si>
  <si>
    <t>Delhi</t>
  </si>
  <si>
    <t>Harsh</t>
  </si>
  <si>
    <t>Nitin</t>
  </si>
  <si>
    <t>Sonu</t>
  </si>
  <si>
    <t>Bihar</t>
  </si>
  <si>
    <t>Monu</t>
  </si>
  <si>
    <t>Dharmesh</t>
  </si>
  <si>
    <t>Bhuwan</t>
  </si>
  <si>
    <t>Rajveer</t>
  </si>
  <si>
    <t>Nikumbh</t>
  </si>
  <si>
    <t>Jayprakash</t>
  </si>
  <si>
    <t>subham</t>
  </si>
  <si>
    <t>Naina</t>
  </si>
  <si>
    <t>Jai</t>
  </si>
  <si>
    <t>Rajiv</t>
  </si>
  <si>
    <t>Dheeraj</t>
  </si>
  <si>
    <t>Muskan</t>
  </si>
  <si>
    <t>Ritesh</t>
  </si>
  <si>
    <t>Electronics</t>
  </si>
  <si>
    <t>Ranjeet</t>
  </si>
  <si>
    <t>Sohan</t>
  </si>
  <si>
    <t>Rohan</t>
  </si>
  <si>
    <t>Rahul</t>
  </si>
  <si>
    <t>Sonali</t>
  </si>
  <si>
    <t>Nayak</t>
  </si>
  <si>
    <t>Muneer</t>
  </si>
  <si>
    <t>Dholu</t>
  </si>
  <si>
    <t>Bholu</t>
  </si>
  <si>
    <t>Raju</t>
  </si>
  <si>
    <t>Chutki</t>
  </si>
  <si>
    <t>Jiten</t>
  </si>
  <si>
    <t>Jatin</t>
  </si>
  <si>
    <t>Ankush</t>
  </si>
  <si>
    <t>Anshul</t>
  </si>
  <si>
    <t>Anuradha</t>
  </si>
  <si>
    <t>Sales Date</t>
  </si>
  <si>
    <t>Total Sales</t>
  </si>
  <si>
    <t>Row Labels</t>
  </si>
  <si>
    <t>Grand Total</t>
  </si>
  <si>
    <t>Sum of Sales</t>
  </si>
  <si>
    <t>Grocery1</t>
  </si>
  <si>
    <t>Sum of Mahesh</t>
  </si>
  <si>
    <t>Mar</t>
  </si>
  <si>
    <t>Apr</t>
  </si>
  <si>
    <t>May</t>
  </si>
  <si>
    <t>Jun</t>
  </si>
  <si>
    <t>Jul</t>
  </si>
  <si>
    <t>Qtr1</t>
  </si>
  <si>
    <t>Qtr2</t>
  </si>
  <si>
    <t>Qtr3</t>
  </si>
  <si>
    <t>Count of Sales</t>
  </si>
  <si>
    <t>Timestamp</t>
  </si>
  <si>
    <t>Score</t>
  </si>
  <si>
    <t>Email Address</t>
  </si>
  <si>
    <t>17 / 20</t>
  </si>
  <si>
    <t>keshav88878@gmail.com</t>
  </si>
  <si>
    <t>kgarg4804@gmail.com</t>
  </si>
  <si>
    <t>18 / 20</t>
  </si>
  <si>
    <t>kashi31ka@gmail.com</t>
  </si>
  <si>
    <t>15 / 20</t>
  </si>
  <si>
    <t>yashrajonlybhai@gmail.com</t>
  </si>
  <si>
    <t>16 / 20</t>
  </si>
  <si>
    <t>riyagangwar6397@gmail.com</t>
  </si>
  <si>
    <t>aashishkumara721@gmail.com</t>
  </si>
  <si>
    <t>priyanshisaxenably1@gmail.com</t>
  </si>
  <si>
    <t>14 / 20</t>
  </si>
  <si>
    <t>pandeyakansha861@gmail.com</t>
  </si>
  <si>
    <t>aastha.singh.a0@gmail.com</t>
  </si>
  <si>
    <t>bindu9353@gmail.com</t>
  </si>
  <si>
    <t>aarohisaxena339@gmail.com</t>
  </si>
  <si>
    <t>rathorpankaj446@gmail.com</t>
  </si>
  <si>
    <t>agarwalshrishti2526@gmail.com</t>
  </si>
  <si>
    <t>unnatimishra3030@gmail.com</t>
  </si>
  <si>
    <t>agarwalpalak330@gmail.com</t>
  </si>
  <si>
    <t>diptigoswami1999@gmail.com</t>
  </si>
  <si>
    <t>syedmohammadidrak1@gmail.com</t>
  </si>
  <si>
    <t>devalpooja0@gmail.com</t>
  </si>
  <si>
    <t>yadavsamriddhi19@gmail.com</t>
  </si>
  <si>
    <t>aishwarya01070@gmail.com</t>
  </si>
  <si>
    <t>chauhanheeru912@gmail.com</t>
  </si>
  <si>
    <t>abhaykatheriya12345@gmail.com</t>
  </si>
  <si>
    <t>ankitkumar070500@gmail.com</t>
  </si>
  <si>
    <t>rahulgangwarbly14@gmail.com</t>
  </si>
  <si>
    <t>gangwarmuskan610@gmail.com</t>
  </si>
  <si>
    <t>divadeopa5@gmail.com</t>
  </si>
  <si>
    <t>13 / 20</t>
  </si>
  <si>
    <t>sheetalpal601@gmail.com</t>
  </si>
  <si>
    <t>komaldiwakar496@gmail.com</t>
  </si>
  <si>
    <t>harveeryadav3164@gmail.com</t>
  </si>
  <si>
    <t>saxenautkarsh571@gmail.com</t>
  </si>
  <si>
    <t xml:space="preserve">9  / 20 </t>
  </si>
  <si>
    <t>vidhansaxena9@gmail.com</t>
  </si>
  <si>
    <t>sg668579@gmail.com</t>
  </si>
  <si>
    <t>mahipal12072007@gmail.com</t>
  </si>
  <si>
    <t>uttkarshraisaxena1206@gmail.com</t>
  </si>
  <si>
    <t>sejalthapa036@gmail.com</t>
  </si>
  <si>
    <t>peehubhatnagar1106@gmail.com</t>
  </si>
  <si>
    <t>appy.agrawal2005@gmail.com</t>
  </si>
  <si>
    <t>fs075202@gmail.com</t>
  </si>
  <si>
    <t>ayushvishwakarma437@gmail.com</t>
  </si>
  <si>
    <t>Salary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</si>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</sst>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9" fontId="0" fillId="0" borderId="0" xfId="2" applyFont="1"/>
    <xf numFmtId="43" fontId="0" fillId="0" borderId="0" xfId="1" applyFont="1"/>
    <xf numFmtId="0" fontId="0" fillId="0" borderId="0" xfId="0" applyNumberFormat="1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 indent="4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16" fontId="2" fillId="3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" fontId="0" fillId="0" borderId="0" xfId="0" applyNumberFormat="1" applyAlignment="1">
      <alignment horizontal="left" indent="1"/>
    </xf>
    <xf numFmtId="22" fontId="0" fillId="0" borderId="0" xfId="0" applyNumberFormat="1"/>
    <xf numFmtId="0" fontId="0" fillId="4" borderId="3" xfId="0" applyFont="1" applyFill="1" applyBorder="1"/>
    <xf numFmtId="0" fontId="0" fillId="0" borderId="3" xfId="0" applyFont="1" applyBorder="1"/>
    <xf numFmtId="0" fontId="0" fillId="4" borderId="3" xfId="0" applyNumberFormat="1" applyFont="1" applyFill="1" applyBorder="1"/>
    <xf numFmtId="0" fontId="0" fillId="4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3">
    <dxf>
      <numFmt numFmtId="27" formatCode="m/d/yyyy\ h:mm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Shubham</c:v>
                </c:pt>
                <c:pt idx="1">
                  <c:v>Neeraj</c:v>
                </c:pt>
                <c:pt idx="2">
                  <c:v>Shaan</c:v>
                </c:pt>
                <c:pt idx="3">
                  <c:v>Saba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34</c:v>
                </c:pt>
                <c:pt idx="1">
                  <c:v>93</c:v>
                </c:pt>
                <c:pt idx="2">
                  <c:v>90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8-4895-B309-122734B820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Shubham</c:v>
                </c:pt>
                <c:pt idx="1">
                  <c:v>Neeraj</c:v>
                </c:pt>
                <c:pt idx="2">
                  <c:v>Shaan</c:v>
                </c:pt>
                <c:pt idx="3">
                  <c:v>Saba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56</c:v>
                </c:pt>
                <c:pt idx="1">
                  <c:v>59</c:v>
                </c:pt>
                <c:pt idx="2">
                  <c:v>76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8-4895-B309-122734B8204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Chemestry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Shubham</c:v>
                </c:pt>
                <c:pt idx="1">
                  <c:v>Neeraj</c:v>
                </c:pt>
                <c:pt idx="2">
                  <c:v>Shaan</c:v>
                </c:pt>
                <c:pt idx="3">
                  <c:v>Saba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89</c:v>
                </c:pt>
                <c:pt idx="1">
                  <c:v>22</c:v>
                </c:pt>
                <c:pt idx="2">
                  <c:v>66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8-4895-B309-122734B82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14335"/>
        <c:axId val="403230239"/>
      </c:barChart>
      <c:catAx>
        <c:axId val="40351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30239"/>
        <c:crosses val="autoZero"/>
        <c:auto val="1"/>
        <c:lblAlgn val="ctr"/>
        <c:lblOffset val="100"/>
        <c:noMultiLvlLbl val="0"/>
      </c:catAx>
      <c:valAx>
        <c:axId val="40323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1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557350</xdr:colOff>
      <xdr:row>0</xdr:row>
      <xdr:rowOff>178526</xdr:rowOff>
    </xdr:from>
    <xdr:to>
      <xdr:col>12</xdr:col>
      <xdr:colOff>37012</xdr:colOff>
      <xdr:row>14</xdr:row>
      <xdr:rowOff>126275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557EF-F060-4E80-82C2-6C13A1A8E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6.679815509262" createdVersion="6" refreshedVersion="6" minRefreshableVersion="3" recordCount="335" xr:uid="{A8B4F617-B9D1-4778-BA0A-BD60D1CA62ED}">
  <cacheSource type="worksheet">
    <worksheetSource ref="A1:L336" sheet="Sheet5"/>
  </cacheSource>
  <cacheFields count="13">
    <cacheField name="Sales Date" numFmtId="16">
      <sharedItems containsSemiMixedTypes="0" containsNonDate="0" containsDate="1" containsString="0" minDate="2025-01-01T00:00:00" maxDate="2026-01-01T00:00:00" count="335"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2" base="0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Rajesh" numFmtId="3">
      <sharedItems containsSemiMixedTypes="0" containsString="0" containsNumber="1" minValue="4075" maxValue="7971"/>
    </cacheField>
    <cacheField name="Mahesh" numFmtId="3">
      <sharedItems containsSemiMixedTypes="0" containsString="0" containsNumber="1" minValue="3766.3433608058599" maxValue="7983"/>
    </cacheField>
    <cacheField name="Suresh" numFmtId="3">
      <sharedItems containsSemiMixedTypes="0" containsString="0" containsNumber="1" minValue="4096" maxValue="7976"/>
    </cacheField>
    <cacheField name="Harsh" numFmtId="3">
      <sharedItems containsSemiMixedTypes="0" containsString="0" containsNumber="1" minValue="4023" maxValue="7943"/>
    </cacheField>
    <cacheField name="Nitin" numFmtId="3">
      <sharedItems containsSemiMixedTypes="0" containsString="0" containsNumber="1" minValue="4023" maxValue="7976"/>
    </cacheField>
    <cacheField name="Suresh2" numFmtId="3">
      <sharedItems containsSemiMixedTypes="0" containsString="0" containsNumber="1" minValue="4038" maxValue="7975"/>
    </cacheField>
    <cacheField name="Sonu" numFmtId="3">
      <sharedItems containsSemiMixedTypes="0" containsString="0" containsNumber="1" minValue="3576.8702152014698" maxValue="7896"/>
    </cacheField>
    <cacheField name="Monu" numFmtId="3">
      <sharedItems containsSemiMixedTypes="0" containsString="0" containsNumber="1" minValue="4040" maxValue="7976"/>
    </cacheField>
    <cacheField name="Dharmesh" numFmtId="3">
      <sharedItems containsSemiMixedTypes="0" containsString="0" containsNumber="1" minValue="4008" maxValue="7976"/>
    </cacheField>
    <cacheField name="Bhuwan" numFmtId="3">
      <sharedItems containsSemiMixedTypes="0" containsString="0" containsNumber="1" minValue="4052" maxValue="7998"/>
    </cacheField>
    <cacheField name="Total Sales" numFmtId="3">
      <sharedItems containsSemiMixedTypes="0" containsString="0" containsNumber="1" minValue="49611" maxValue="69274"/>
    </cacheField>
    <cacheField name="Quarters" numFmtId="0" databaseField="0">
      <fieldGroup base="0">
        <rangePr groupBy="quarters" startDate="2025-01-01T00:00:00" endDate="2026-01-01T00:00:00"/>
        <groupItems count="6">
          <s v="&lt;1/1/2025"/>
          <s v="Qtr1"/>
          <s v="Qtr2"/>
          <s v="Qtr3"/>
          <s v="Qtr4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 pivotCacheId="82597465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6.679816087963" createdVersion="6" refreshedVersion="6" minRefreshableVersion="3" recordCount="38" xr:uid="{B156BBE3-B8AF-468A-A283-0C160A79417B}">
  <cacheSource type="worksheet">
    <worksheetSource ref="A1:H39" sheet="Sheet4"/>
  </cacheSource>
  <cacheFields count="8">
    <cacheField name="Emp-ID" numFmtId="0">
      <sharedItems containsSemiMixedTypes="0" containsString="0" containsNumber="1" containsInteger="1" minValue="1001" maxValue="1038"/>
    </cacheField>
    <cacheField name="Staff" numFmtId="0">
      <sharedItems count="36">
        <s v="Rajesh"/>
        <s v="Mahesh"/>
        <s v="Suresh"/>
        <s v="Harsh"/>
        <s v="Nitin"/>
        <s v="Sonu"/>
        <s v="Monu"/>
        <s v="Dharmesh"/>
        <s v="Bhuwan"/>
        <s v="Rajveer"/>
        <s v="Nikumbh"/>
        <s v="Jayprakash"/>
        <s v="subham"/>
        <s v="Naina"/>
        <s v="Jai"/>
        <s v="Rajiv"/>
        <s v="Neeraj"/>
        <s v="Dheeraj"/>
        <s v="Muskan"/>
        <s v="Ritesh"/>
        <s v="Ranjeet"/>
        <s v="Sohan"/>
        <s v="Rohan"/>
        <s v="Rahul"/>
        <s v="Sonali"/>
        <s v="Nayak"/>
        <s v="Muneer"/>
        <s v="Dholu"/>
        <s v="Bholu"/>
        <s v="Raju"/>
        <s v="Chutki"/>
        <s v="Jiten"/>
        <s v="Jatin"/>
        <s v="Ankush"/>
        <s v="Anshul"/>
        <s v="Anuradha"/>
      </sharedItems>
    </cacheField>
    <cacheField name="Designation" numFmtId="0">
      <sharedItems/>
    </cacheField>
    <cacheField name="Basic Pay" numFmtId="43">
      <sharedItems containsSemiMixedTypes="0" containsString="0" containsNumber="1" containsInteger="1" minValue="22000" maxValue="25000"/>
    </cacheField>
    <cacheField name="Age" numFmtId="0">
      <sharedItems containsSemiMixedTypes="0" containsString="0" containsNumber="1" containsInteger="1" minValue="25" maxValue="45"/>
    </cacheField>
    <cacheField name="Working State" numFmtId="0">
      <sharedItems count="4">
        <s v="Punjab"/>
        <s v="Uttar Pradesh"/>
        <s v="Delhi"/>
        <s v="Bihar"/>
      </sharedItems>
    </cacheField>
    <cacheField name="Working Department" numFmtId="0">
      <sharedItems/>
    </cacheField>
    <cacheField name="Sales" numFmtId="43">
      <sharedItems containsSemiMixedTypes="0" containsString="0" containsNumber="1" containsInteger="1" minValue="25970" maxValue="73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86.679816435186" createdVersion="6" refreshedVersion="6" minRefreshableVersion="3" recordCount="38" xr:uid="{BEFEDC6C-9388-424F-9928-057D9C30F88F}">
  <cacheSource type="worksheet">
    <worksheetSource ref="A1:H39" sheet="Sheet4"/>
  </cacheSource>
  <cacheFields count="8">
    <cacheField name="Emp-ID" numFmtId="0">
      <sharedItems containsSemiMixedTypes="0" containsString="0" containsNumber="1" containsInteger="1" minValue="1001" maxValue="1038"/>
    </cacheField>
    <cacheField name="Staff" numFmtId="0">
      <sharedItems/>
    </cacheField>
    <cacheField name="Designation" numFmtId="0">
      <sharedItems/>
    </cacheField>
    <cacheField name="Basic Pay" numFmtId="43">
      <sharedItems containsSemiMixedTypes="0" containsString="0" containsNumber="1" containsInteger="1" minValue="22000" maxValue="25000"/>
    </cacheField>
    <cacheField name="Age" numFmtId="0">
      <sharedItems containsSemiMixedTypes="0" containsString="0" containsNumber="1" containsInteger="1" minValue="25" maxValue="45"/>
    </cacheField>
    <cacheField name="Working State" numFmtId="0">
      <sharedItems/>
    </cacheField>
    <cacheField name="Working Department" numFmtId="0">
      <sharedItems count="4">
        <s v="Grocery1"/>
        <s v="Garments"/>
        <s v="Grocery"/>
        <s v="Electronics"/>
      </sharedItems>
    </cacheField>
    <cacheField name="Sales" numFmtId="43">
      <sharedItems containsSemiMixedTypes="0" containsString="0" containsNumber="1" containsInteger="1" minValue="25970" maxValue="73666"/>
    </cacheField>
  </cacheFields>
  <extLst>
    <ext xmlns:x14="http://schemas.microsoft.com/office/spreadsheetml/2009/9/main" uri="{725AE2AE-9491-48be-B2B4-4EB974FC3084}">
      <x14:pivotCacheDefinition pivotCacheId="7191986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x v="0"/>
    <n v="6106"/>
    <n v="7239"/>
    <n v="6536"/>
    <n v="6688"/>
    <n v="5538"/>
    <n v="7038"/>
    <n v="7532"/>
    <n v="7900"/>
    <n v="4882"/>
    <n v="7263"/>
    <n v="66722"/>
  </r>
  <r>
    <x v="1"/>
    <n v="7667"/>
    <n v="5806"/>
    <n v="4719"/>
    <n v="6119"/>
    <n v="6628"/>
    <n v="4312"/>
    <n v="4664"/>
    <n v="7737"/>
    <n v="4399"/>
    <n v="5667"/>
    <n v="57718"/>
  </r>
  <r>
    <x v="2"/>
    <n v="5213"/>
    <n v="5572"/>
    <n v="4938"/>
    <n v="6784"/>
    <n v="5547"/>
    <n v="7941"/>
    <n v="5162"/>
    <n v="7966"/>
    <n v="4767"/>
    <n v="4712"/>
    <n v="58602"/>
  </r>
  <r>
    <x v="3"/>
    <n v="6424"/>
    <n v="4876"/>
    <n v="6934"/>
    <n v="5357"/>
    <n v="5734"/>
    <n v="6497"/>
    <n v="4046"/>
    <n v="6893"/>
    <n v="6905"/>
    <n v="5621"/>
    <n v="59287"/>
  </r>
  <r>
    <x v="4"/>
    <n v="5995"/>
    <n v="6052"/>
    <n v="4667"/>
    <n v="7638"/>
    <n v="6708"/>
    <n v="5503"/>
    <n v="6570"/>
    <n v="5360"/>
    <n v="5950"/>
    <n v="5788"/>
    <n v="60231"/>
  </r>
  <r>
    <x v="5"/>
    <n v="5178"/>
    <n v="6144"/>
    <n v="4200"/>
    <n v="4333"/>
    <n v="4793"/>
    <n v="4110"/>
    <n v="4804"/>
    <n v="4381"/>
    <n v="4595"/>
    <n v="7073"/>
    <n v="49611"/>
  </r>
  <r>
    <x v="6"/>
    <n v="7971"/>
    <n v="4409"/>
    <n v="5162"/>
    <n v="5802"/>
    <n v="4246"/>
    <n v="7432"/>
    <n v="5556"/>
    <n v="6514"/>
    <n v="7180"/>
    <n v="5873"/>
    <n v="60145"/>
  </r>
  <r>
    <x v="7"/>
    <n v="7453"/>
    <n v="4358"/>
    <n v="4346"/>
    <n v="4027"/>
    <n v="4436"/>
    <n v="4690"/>
    <n v="4704"/>
    <n v="7945"/>
    <n v="4628"/>
    <n v="5555"/>
    <n v="52142"/>
  </r>
  <r>
    <x v="8"/>
    <n v="4272"/>
    <n v="7983"/>
    <n v="6034"/>
    <n v="5586"/>
    <n v="7912"/>
    <n v="6008"/>
    <n v="7435"/>
    <n v="4077"/>
    <n v="5687"/>
    <n v="5978"/>
    <n v="60972"/>
  </r>
  <r>
    <x v="9"/>
    <n v="5907"/>
    <n v="7386"/>
    <n v="6561"/>
    <n v="7588"/>
    <n v="7225"/>
    <n v="7274"/>
    <n v="5265"/>
    <n v="7252"/>
    <n v="7945"/>
    <n v="6047"/>
    <n v="68450"/>
  </r>
  <r>
    <x v="10"/>
    <n v="5156"/>
    <n v="7792"/>
    <n v="5734"/>
    <n v="5544"/>
    <n v="6254"/>
    <n v="6300"/>
    <n v="7186"/>
    <n v="6027"/>
    <n v="6420"/>
    <n v="4193"/>
    <n v="60606"/>
  </r>
  <r>
    <x v="11"/>
    <n v="6463"/>
    <n v="5376"/>
    <n v="4708"/>
    <n v="7254"/>
    <n v="5206"/>
    <n v="4246"/>
    <n v="4441"/>
    <n v="7716"/>
    <n v="5756"/>
    <n v="4609"/>
    <n v="55775"/>
  </r>
  <r>
    <x v="12"/>
    <n v="4957"/>
    <n v="7835"/>
    <n v="7317"/>
    <n v="5165"/>
    <n v="4252"/>
    <n v="7251"/>
    <n v="6128"/>
    <n v="5301"/>
    <n v="6417"/>
    <n v="7127"/>
    <n v="61750"/>
  </r>
  <r>
    <x v="13"/>
    <n v="7817"/>
    <n v="6011"/>
    <n v="6971"/>
    <n v="6590"/>
    <n v="7919"/>
    <n v="6850"/>
    <n v="6984"/>
    <n v="7385"/>
    <n v="5167"/>
    <n v="7094"/>
    <n v="68788"/>
  </r>
  <r>
    <x v="14"/>
    <n v="7924"/>
    <n v="5302"/>
    <n v="7018"/>
    <n v="7915"/>
    <n v="4744"/>
    <n v="4727"/>
    <n v="5282"/>
    <n v="4403"/>
    <n v="7363"/>
    <n v="7443"/>
    <n v="62121"/>
  </r>
  <r>
    <x v="15"/>
    <n v="5860"/>
    <n v="7765"/>
    <n v="6558"/>
    <n v="6798"/>
    <n v="4231"/>
    <n v="7412"/>
    <n v="7296"/>
    <n v="4296"/>
    <n v="7105"/>
    <n v="6777"/>
    <n v="64098"/>
  </r>
  <r>
    <x v="16"/>
    <n v="6898"/>
    <n v="5623"/>
    <n v="6333"/>
    <n v="6779"/>
    <n v="6484"/>
    <n v="5070"/>
    <n v="7515"/>
    <n v="4923"/>
    <n v="6856"/>
    <n v="6913"/>
    <n v="63394"/>
  </r>
  <r>
    <x v="17"/>
    <n v="5807"/>
    <n v="7454"/>
    <n v="6813"/>
    <n v="5497"/>
    <n v="7473"/>
    <n v="4789"/>
    <n v="7286"/>
    <n v="4928"/>
    <n v="5616"/>
    <n v="4211"/>
    <n v="59874"/>
  </r>
  <r>
    <x v="18"/>
    <n v="5126"/>
    <n v="7131"/>
    <n v="4147"/>
    <n v="4223"/>
    <n v="4403"/>
    <n v="7381"/>
    <n v="7568"/>
    <n v="4728"/>
    <n v="7239"/>
    <n v="6715"/>
    <n v="58661"/>
  </r>
  <r>
    <x v="19"/>
    <n v="5497"/>
    <n v="4607"/>
    <n v="5960"/>
    <n v="4545"/>
    <n v="6744"/>
    <n v="5889"/>
    <n v="7337"/>
    <n v="4889"/>
    <n v="6823"/>
    <n v="7364"/>
    <n v="59655"/>
  </r>
  <r>
    <x v="20"/>
    <n v="6343"/>
    <n v="4616"/>
    <n v="5410"/>
    <n v="4247"/>
    <n v="4574"/>
    <n v="5292"/>
    <n v="4176"/>
    <n v="6711"/>
    <n v="4914"/>
    <n v="4052"/>
    <n v="50335"/>
  </r>
  <r>
    <x v="21"/>
    <n v="6505"/>
    <n v="6823"/>
    <n v="6069"/>
    <n v="7236"/>
    <n v="6087"/>
    <n v="5065"/>
    <n v="7578"/>
    <n v="6525"/>
    <n v="6939"/>
    <n v="4113"/>
    <n v="62940"/>
  </r>
  <r>
    <x v="22"/>
    <n v="6248"/>
    <n v="5870"/>
    <n v="4352"/>
    <n v="7221"/>
    <n v="7620"/>
    <n v="4696"/>
    <n v="5116"/>
    <n v="5222"/>
    <n v="4351"/>
    <n v="7187"/>
    <n v="57883"/>
  </r>
  <r>
    <x v="23"/>
    <n v="5771"/>
    <n v="4837"/>
    <n v="4595"/>
    <n v="6026"/>
    <n v="6356"/>
    <n v="4157"/>
    <n v="4952"/>
    <n v="6721"/>
    <n v="5108"/>
    <n v="7998"/>
    <n v="56521"/>
  </r>
  <r>
    <x v="24"/>
    <n v="7399"/>
    <n v="4576"/>
    <n v="6902"/>
    <n v="5386"/>
    <n v="7059"/>
    <n v="5667"/>
    <n v="5483"/>
    <n v="7269"/>
    <n v="6361"/>
    <n v="6136"/>
    <n v="62238"/>
  </r>
  <r>
    <x v="25"/>
    <n v="6195"/>
    <n v="4109"/>
    <n v="4372"/>
    <n v="5000"/>
    <n v="7355"/>
    <n v="5243"/>
    <n v="7763"/>
    <n v="7545"/>
    <n v="5795"/>
    <n v="6985"/>
    <n v="60362"/>
  </r>
  <r>
    <x v="26"/>
    <n v="4904"/>
    <n v="6718"/>
    <n v="6927"/>
    <n v="5229"/>
    <n v="6988"/>
    <n v="7114"/>
    <n v="5434"/>
    <n v="4326"/>
    <n v="7526"/>
    <n v="6106"/>
    <n v="61272"/>
  </r>
  <r>
    <x v="27"/>
    <n v="6728"/>
    <n v="6057"/>
    <n v="6533"/>
    <n v="4801"/>
    <n v="7864"/>
    <n v="4486"/>
    <n v="4384"/>
    <n v="5974"/>
    <n v="6547"/>
    <n v="6119"/>
    <n v="59493"/>
  </r>
  <r>
    <x v="28"/>
    <n v="4140"/>
    <n v="6539"/>
    <n v="7019"/>
    <n v="7845"/>
    <n v="7891"/>
    <n v="5719"/>
    <n v="4025"/>
    <n v="5636"/>
    <n v="7402"/>
    <n v="7277"/>
    <n v="63493"/>
  </r>
  <r>
    <x v="29"/>
    <n v="6063"/>
    <n v="7859"/>
    <n v="4959"/>
    <n v="7201"/>
    <n v="4572"/>
    <n v="7366"/>
    <n v="7696"/>
    <n v="6574"/>
    <n v="4067"/>
    <n v="6078"/>
    <n v="62435"/>
  </r>
  <r>
    <x v="30"/>
    <n v="7565"/>
    <n v="7722"/>
    <n v="5860"/>
    <n v="4106"/>
    <n v="7310"/>
    <n v="6376"/>
    <n v="7435"/>
    <n v="4168"/>
    <n v="7132"/>
    <n v="5454"/>
    <n v="63128"/>
  </r>
  <r>
    <x v="31"/>
    <n v="6779"/>
    <n v="7950"/>
    <n v="7895"/>
    <n v="6643"/>
    <n v="5333"/>
    <n v="4822"/>
    <n v="7684"/>
    <n v="6097"/>
    <n v="4463"/>
    <n v="5650"/>
    <n v="63316"/>
  </r>
  <r>
    <x v="32"/>
    <n v="6830"/>
    <n v="5054"/>
    <n v="4902"/>
    <n v="4023"/>
    <n v="7594"/>
    <n v="7879"/>
    <n v="4947"/>
    <n v="7588"/>
    <n v="6151"/>
    <n v="5899"/>
    <n v="60867"/>
  </r>
  <r>
    <x v="33"/>
    <n v="6599"/>
    <n v="5263"/>
    <n v="6301"/>
    <n v="7943"/>
    <n v="7695"/>
    <n v="5431"/>
    <n v="7072"/>
    <n v="4808"/>
    <n v="5747"/>
    <n v="7635"/>
    <n v="64494"/>
  </r>
  <r>
    <x v="34"/>
    <n v="7704"/>
    <n v="7589"/>
    <n v="6806"/>
    <n v="7406"/>
    <n v="5902"/>
    <n v="5268"/>
    <n v="4643"/>
    <n v="4056"/>
    <n v="4374"/>
    <n v="5458"/>
    <n v="59206"/>
  </r>
  <r>
    <x v="35"/>
    <n v="7130"/>
    <n v="6792"/>
    <n v="4823"/>
    <n v="7099"/>
    <n v="5586"/>
    <n v="5020"/>
    <n v="7683"/>
    <n v="4040"/>
    <n v="5608"/>
    <n v="7824"/>
    <n v="61605"/>
  </r>
  <r>
    <x v="36"/>
    <n v="6422"/>
    <n v="6450"/>
    <n v="4104"/>
    <n v="6725"/>
    <n v="4949"/>
    <n v="7511"/>
    <n v="5235"/>
    <n v="7708"/>
    <n v="4698"/>
    <n v="6077"/>
    <n v="59879"/>
  </r>
  <r>
    <x v="37"/>
    <n v="7665"/>
    <n v="4957"/>
    <n v="4502"/>
    <n v="4846"/>
    <n v="4713"/>
    <n v="7580"/>
    <n v="7279"/>
    <n v="5732"/>
    <n v="6661"/>
    <n v="5920"/>
    <n v="59855"/>
  </r>
  <r>
    <x v="38"/>
    <n v="4388"/>
    <n v="6231"/>
    <n v="6651"/>
    <n v="7554"/>
    <n v="7073"/>
    <n v="4504"/>
    <n v="6643"/>
    <n v="6255"/>
    <n v="5071"/>
    <n v="7792"/>
    <n v="62162"/>
  </r>
  <r>
    <x v="39"/>
    <n v="4643"/>
    <n v="6608"/>
    <n v="7849"/>
    <n v="5340"/>
    <n v="5226"/>
    <n v="4430"/>
    <n v="5594"/>
    <n v="5540"/>
    <n v="5027"/>
    <n v="7682"/>
    <n v="57939"/>
  </r>
  <r>
    <x v="40"/>
    <n v="7817"/>
    <n v="6370"/>
    <n v="5485"/>
    <n v="4762"/>
    <n v="6118"/>
    <n v="4605"/>
    <n v="4054"/>
    <n v="6998"/>
    <n v="5687"/>
    <n v="5854"/>
    <n v="57750"/>
  </r>
  <r>
    <x v="41"/>
    <n v="5164"/>
    <n v="5049"/>
    <n v="7880"/>
    <n v="5414"/>
    <n v="4629"/>
    <n v="4832"/>
    <n v="5063"/>
    <n v="6013"/>
    <n v="6240"/>
    <n v="5254"/>
    <n v="55538"/>
  </r>
  <r>
    <x v="42"/>
    <n v="5837"/>
    <n v="7800"/>
    <n v="4530"/>
    <n v="4065"/>
    <n v="5991"/>
    <n v="4711"/>
    <n v="5205"/>
    <n v="7185"/>
    <n v="5564"/>
    <n v="4496"/>
    <n v="55384"/>
  </r>
  <r>
    <x v="43"/>
    <n v="6647"/>
    <n v="7319"/>
    <n v="6090"/>
    <n v="5461"/>
    <n v="5584"/>
    <n v="6419"/>
    <n v="4123"/>
    <n v="6759"/>
    <n v="7667"/>
    <n v="7397"/>
    <n v="63466"/>
  </r>
  <r>
    <x v="44"/>
    <n v="4457"/>
    <n v="6281"/>
    <n v="7507"/>
    <n v="7721"/>
    <n v="4996"/>
    <n v="7761"/>
    <n v="6543"/>
    <n v="6687"/>
    <n v="7016"/>
    <n v="6071"/>
    <n v="65040"/>
  </r>
  <r>
    <x v="45"/>
    <n v="5333"/>
    <n v="5091"/>
    <n v="4690"/>
    <n v="7823"/>
    <n v="7077"/>
    <n v="4620"/>
    <n v="4752"/>
    <n v="6783"/>
    <n v="7387"/>
    <n v="5251"/>
    <n v="58807"/>
  </r>
  <r>
    <x v="46"/>
    <n v="6480"/>
    <n v="7978"/>
    <n v="6860"/>
    <n v="7278"/>
    <n v="6320"/>
    <n v="6713"/>
    <n v="7714"/>
    <n v="7056"/>
    <n v="5374"/>
    <n v="7501"/>
    <n v="69274"/>
  </r>
  <r>
    <x v="47"/>
    <n v="6111"/>
    <n v="7857"/>
    <n v="7638"/>
    <n v="5007"/>
    <n v="7642"/>
    <n v="4263"/>
    <n v="4662"/>
    <n v="7825"/>
    <n v="4283"/>
    <n v="6425"/>
    <n v="61713"/>
  </r>
  <r>
    <x v="48"/>
    <n v="5333"/>
    <n v="6770"/>
    <n v="6559"/>
    <n v="6622"/>
    <n v="7755"/>
    <n v="7897"/>
    <n v="4861"/>
    <n v="7768"/>
    <n v="5336"/>
    <n v="5576"/>
    <n v="64477"/>
  </r>
  <r>
    <x v="49"/>
    <n v="4682"/>
    <n v="7891"/>
    <n v="4729"/>
    <n v="7501"/>
    <n v="6615"/>
    <n v="6777"/>
    <n v="7401"/>
    <n v="4532"/>
    <n v="7302"/>
    <n v="4292"/>
    <n v="61722"/>
  </r>
  <r>
    <x v="50"/>
    <n v="6723"/>
    <n v="4229"/>
    <n v="5588"/>
    <n v="5139"/>
    <n v="5038"/>
    <n v="6219"/>
    <n v="7660"/>
    <n v="4137"/>
    <n v="4927"/>
    <n v="4531"/>
    <n v="54191"/>
  </r>
  <r>
    <x v="51"/>
    <n v="6209"/>
    <n v="6377"/>
    <n v="6060"/>
    <n v="6144"/>
    <n v="6725"/>
    <n v="5665"/>
    <n v="4711"/>
    <n v="7976"/>
    <n v="4618"/>
    <n v="7981"/>
    <n v="62466"/>
  </r>
  <r>
    <x v="52"/>
    <n v="4543"/>
    <n v="7605"/>
    <n v="6503"/>
    <n v="7177"/>
    <n v="6275"/>
    <n v="4392"/>
    <n v="4844"/>
    <n v="4093"/>
    <n v="5205"/>
    <n v="7455"/>
    <n v="58092"/>
  </r>
  <r>
    <x v="53"/>
    <n v="6237"/>
    <n v="4919"/>
    <n v="4773"/>
    <n v="4924"/>
    <n v="5979"/>
    <n v="7975"/>
    <n v="4081"/>
    <n v="4975"/>
    <n v="7417"/>
    <n v="4403"/>
    <n v="55683"/>
  </r>
  <r>
    <x v="54"/>
    <n v="4583"/>
    <n v="6169"/>
    <n v="6465"/>
    <n v="7849"/>
    <n v="7816"/>
    <n v="5773"/>
    <n v="4258"/>
    <n v="6383"/>
    <n v="5657"/>
    <n v="6938"/>
    <n v="61891"/>
  </r>
  <r>
    <x v="55"/>
    <n v="5108"/>
    <n v="7412"/>
    <n v="4890"/>
    <n v="6282"/>
    <n v="6575"/>
    <n v="7153"/>
    <n v="4419"/>
    <n v="6888"/>
    <n v="7964"/>
    <n v="5125"/>
    <n v="61816"/>
  </r>
  <r>
    <x v="56"/>
    <n v="7301"/>
    <n v="7030"/>
    <n v="5832"/>
    <n v="5105"/>
    <n v="4391"/>
    <n v="7579"/>
    <n v="6076"/>
    <n v="7921"/>
    <n v="5402"/>
    <n v="5910"/>
    <n v="62547"/>
  </r>
  <r>
    <x v="57"/>
    <n v="6853"/>
    <n v="4056"/>
    <n v="4738"/>
    <n v="6092"/>
    <n v="5349"/>
    <n v="7015"/>
    <n v="5385"/>
    <n v="4189"/>
    <n v="6819"/>
    <n v="4931"/>
    <n v="55427"/>
  </r>
  <r>
    <x v="58"/>
    <n v="6161"/>
    <n v="7832"/>
    <n v="6654"/>
    <n v="6250"/>
    <n v="6421"/>
    <n v="6452"/>
    <n v="7878"/>
    <n v="5658"/>
    <n v="6879"/>
    <n v="4729"/>
    <n v="64914"/>
  </r>
  <r>
    <x v="59"/>
    <n v="6499"/>
    <n v="5187"/>
    <n v="7976"/>
    <n v="6471"/>
    <n v="4559"/>
    <n v="6162"/>
    <n v="5033"/>
    <n v="5105"/>
    <n v="4576"/>
    <n v="6162"/>
    <n v="57730"/>
  </r>
  <r>
    <x v="60"/>
    <n v="7708"/>
    <n v="4829"/>
    <n v="4187"/>
    <n v="6671"/>
    <n v="7434"/>
    <n v="4912"/>
    <n v="4391"/>
    <n v="7427"/>
    <n v="5853"/>
    <n v="6556"/>
    <n v="59968"/>
  </r>
  <r>
    <x v="61"/>
    <n v="7705"/>
    <n v="5248"/>
    <n v="5095"/>
    <n v="6478"/>
    <n v="7056"/>
    <n v="6966"/>
    <n v="6465"/>
    <n v="4627"/>
    <n v="7576"/>
    <n v="7378"/>
    <n v="64594"/>
  </r>
  <r>
    <x v="62"/>
    <n v="6481"/>
    <n v="4873"/>
    <n v="5151"/>
    <n v="4896"/>
    <n v="4916"/>
    <n v="5932"/>
    <n v="6213"/>
    <n v="5770"/>
    <n v="7127"/>
    <n v="7502"/>
    <n v="58861"/>
  </r>
  <r>
    <x v="63"/>
    <n v="4666"/>
    <n v="7523"/>
    <n v="6963"/>
    <n v="4745"/>
    <n v="6426"/>
    <n v="5011"/>
    <n v="5407"/>
    <n v="7755"/>
    <n v="5473"/>
    <n v="7964"/>
    <n v="61933"/>
  </r>
  <r>
    <x v="64"/>
    <n v="4675"/>
    <n v="7920"/>
    <n v="5244"/>
    <n v="7260"/>
    <n v="4612"/>
    <n v="6119"/>
    <n v="6634"/>
    <n v="7019"/>
    <n v="4527"/>
    <n v="4369"/>
    <n v="58379"/>
  </r>
  <r>
    <x v="65"/>
    <n v="7700"/>
    <n v="6397"/>
    <n v="6680"/>
    <n v="4942"/>
    <n v="5998"/>
    <n v="4074"/>
    <n v="5552"/>
    <n v="4860"/>
    <n v="7081"/>
    <n v="7639"/>
    <n v="60923"/>
  </r>
  <r>
    <x v="66"/>
    <n v="5831"/>
    <n v="6363"/>
    <n v="4753"/>
    <n v="4332"/>
    <n v="5118"/>
    <n v="7787"/>
    <n v="7423"/>
    <n v="6662"/>
    <n v="7968"/>
    <n v="5494"/>
    <n v="61731"/>
  </r>
  <r>
    <x v="67"/>
    <n v="7456"/>
    <n v="5189"/>
    <n v="4606"/>
    <n v="5715"/>
    <n v="7976"/>
    <n v="6017"/>
    <n v="5979"/>
    <n v="7228"/>
    <n v="4008"/>
    <n v="4918"/>
    <n v="59092"/>
  </r>
  <r>
    <x v="68"/>
    <n v="5059"/>
    <n v="4451"/>
    <n v="4096"/>
    <n v="7634"/>
    <n v="5469"/>
    <n v="4236"/>
    <n v="4736"/>
    <n v="4381"/>
    <n v="6914"/>
    <n v="5814"/>
    <n v="52790"/>
  </r>
  <r>
    <x v="69"/>
    <n v="5952"/>
    <n v="6632"/>
    <n v="6054"/>
    <n v="7285"/>
    <n v="5490"/>
    <n v="6610"/>
    <n v="5385"/>
    <n v="6642"/>
    <n v="4632"/>
    <n v="5458"/>
    <n v="60140"/>
  </r>
  <r>
    <x v="70"/>
    <n v="6714"/>
    <n v="4289"/>
    <n v="5386"/>
    <n v="4091"/>
    <n v="4023"/>
    <n v="5169"/>
    <n v="7514"/>
    <n v="4594"/>
    <n v="7976"/>
    <n v="4302"/>
    <n v="54058"/>
  </r>
  <r>
    <x v="71"/>
    <n v="4075"/>
    <n v="4934"/>
    <n v="6443"/>
    <n v="6596"/>
    <n v="6437"/>
    <n v="6255"/>
    <n v="7896"/>
    <n v="4589"/>
    <n v="6655"/>
    <n v="7422"/>
    <n v="61302"/>
  </r>
  <r>
    <x v="72"/>
    <n v="6948"/>
    <n v="5585"/>
    <n v="6615"/>
    <n v="5337"/>
    <n v="5913"/>
    <n v="4395"/>
    <n v="7025"/>
    <n v="5059"/>
    <n v="7683"/>
    <n v="6728"/>
    <n v="61288"/>
  </r>
  <r>
    <x v="73"/>
    <n v="5987"/>
    <n v="5041"/>
    <n v="6571"/>
    <n v="7418"/>
    <n v="4480"/>
    <n v="7349"/>
    <n v="6685"/>
    <n v="5604"/>
    <n v="4966"/>
    <n v="4277"/>
    <n v="58378"/>
  </r>
  <r>
    <x v="74"/>
    <n v="5220"/>
    <n v="6337"/>
    <n v="7775"/>
    <n v="6942"/>
    <n v="7710"/>
    <n v="4038"/>
    <n v="6367"/>
    <n v="4951"/>
    <n v="4346"/>
    <n v="6228"/>
    <n v="59914"/>
  </r>
  <r>
    <x v="75"/>
    <n v="5600"/>
    <n v="5967"/>
    <n v="7728"/>
    <n v="4953"/>
    <n v="6965"/>
    <n v="4498"/>
    <n v="5666"/>
    <n v="7745"/>
    <n v="7712"/>
    <n v="7265"/>
    <n v="64099"/>
  </r>
  <r>
    <x v="76"/>
    <n v="7672"/>
    <n v="5754"/>
    <n v="6342"/>
    <n v="5341"/>
    <n v="5139"/>
    <n v="7782"/>
    <n v="4583"/>
    <n v="6164"/>
    <n v="6483"/>
    <n v="7357"/>
    <n v="62617"/>
  </r>
  <r>
    <x v="77"/>
    <n v="6774"/>
    <n v="5224"/>
    <n v="6691"/>
    <n v="6015"/>
    <n v="5276"/>
    <n v="4361"/>
    <n v="4301"/>
    <n v="5921"/>
    <n v="6327"/>
    <n v="5056"/>
    <n v="55946"/>
  </r>
  <r>
    <x v="78"/>
    <n v="6062.5982142857101"/>
    <n v="5863.1755952381"/>
    <n v="6065.59375"/>
    <n v="6048.0610119047597"/>
    <n v="5878.9226190476202"/>
    <n v="5926.8065476190504"/>
    <n v="5672.2782738095202"/>
    <n v="6135.2886904761899"/>
    <n v="6161.3065476190504"/>
    <n v="5969.1994047619"/>
    <n v="59783.230654761908"/>
  </r>
  <r>
    <x v="79"/>
    <n v="6059.9887362637401"/>
    <n v="5854.98484432234"/>
    <n v="6068.8201923076904"/>
    <n v="6047.9186584249101"/>
    <n v="5872.2553342490801"/>
    <n v="5929.6563644688604"/>
    <n v="5664.0930860805902"/>
    <n v="6142.0519001831499"/>
    <n v="6163.5914606227097"/>
    <n v="5963.0238095238101"/>
    <n v="59766.384386446873"/>
  </r>
  <r>
    <x v="80"/>
    <n v="6057.37925824176"/>
    <n v="5846.79409340659"/>
    <n v="6072.0466346153798"/>
    <n v="6047.7763049450596"/>
    <n v="5865.58804945055"/>
    <n v="5932.5061813186803"/>
    <n v="5655.9078983516501"/>
    <n v="6148.8151098901099"/>
    <n v="6165.87637362637"/>
    <n v="5956.8482142857101"/>
    <n v="59749.538118131866"/>
  </r>
  <r>
    <x v="81"/>
    <n v="6054.7697802197799"/>
    <n v="5838.6033424908401"/>
    <n v="6075.2730769230802"/>
    <n v="6047.6339514652"/>
    <n v="5858.9207646520199"/>
    <n v="5935.3559981685003"/>
    <n v="5647.7227106227101"/>
    <n v="6155.5783195970698"/>
    <n v="6168.1612866300402"/>
    <n v="5950.6726190476202"/>
    <n v="59732.69184981686"/>
  </r>
  <r>
    <x v="82"/>
    <n v="6052.1603021977999"/>
    <n v="5830.4125915750901"/>
    <n v="6078.4995192307697"/>
    <n v="6047.4915979853504"/>
    <n v="5852.2534798534798"/>
    <n v="5938.2058150183202"/>
    <n v="5639.5375228937701"/>
    <n v="6162.3415293040298"/>
    <n v="6170.4461996337004"/>
    <n v="5944.4970238095202"/>
    <n v="59715.845581501824"/>
  </r>
  <r>
    <x v="83"/>
    <n v="6049.5508241758198"/>
    <n v="5822.2218406593402"/>
    <n v="6081.7259615384601"/>
    <n v="6047.3492445054999"/>
    <n v="5845.5861950549497"/>
    <n v="5941.0556318681301"/>
    <n v="5631.35233516483"/>
    <n v="6169.1047390109898"/>
    <n v="6172.7311126373597"/>
    <n v="5938.3214285714303"/>
    <n v="59698.99931318681"/>
  </r>
  <r>
    <x v="84"/>
    <n v="6046.9413461538497"/>
    <n v="5814.0310897435902"/>
    <n v="6084.9524038461504"/>
    <n v="6047.2068910256403"/>
    <n v="5838.9189102564096"/>
    <n v="5943.9054487179501"/>
    <n v="5623.1671474359"/>
    <n v="6175.8679487179497"/>
    <n v="6175.01602564103"/>
    <n v="5932.1458333333303"/>
    <n v="59682.153044871797"/>
  </r>
  <r>
    <x v="85"/>
    <n v="6044.3318681318697"/>
    <n v="5805.8403388278402"/>
    <n v="6088.1788461538499"/>
    <n v="6047.0645375457898"/>
    <n v="5832.2516254578804"/>
    <n v="5946.75526556777"/>
    <n v="5614.98195970696"/>
    <n v="6182.6311584249097"/>
    <n v="6177.3009386446902"/>
    <n v="5925.9702380952403"/>
    <n v="59665.306776556798"/>
  </r>
  <r>
    <x v="86"/>
    <n v="6041.7223901098896"/>
    <n v="5797.6495879120903"/>
    <n v="6091.4052884615403"/>
    <n v="6046.9221840659302"/>
    <n v="5825.5843406593403"/>
    <n v="5949.60508241758"/>
    <n v="5606.7967719780199"/>
    <n v="6189.3943681318697"/>
    <n v="6179.5858516483504"/>
    <n v="5919.7946428571404"/>
    <n v="59648.460508241755"/>
  </r>
  <r>
    <x v="87"/>
    <n v="6039.1129120879104"/>
    <n v="5789.4588369963403"/>
    <n v="6094.6317307692298"/>
    <n v="6046.7798305860797"/>
    <n v="5818.9170558608103"/>
    <n v="5952.4548992673999"/>
    <n v="5598.6115842490799"/>
    <n v="6196.1575778388296"/>
    <n v="6181.8707646520097"/>
    <n v="5913.6190476190504"/>
    <n v="59631.614239926741"/>
  </r>
  <r>
    <x v="88"/>
    <n v="6036.5034340659304"/>
    <n v="5781.2680860805904"/>
    <n v="6097.8581730769201"/>
    <n v="6046.6374771062301"/>
    <n v="5812.2497710622702"/>
    <n v="5955.3047161172199"/>
    <n v="5590.4263965201499"/>
    <n v="6202.9207875457896"/>
    <n v="6184.1556776556799"/>
    <n v="5907.4434523809496"/>
    <n v="59614.76797161172"/>
  </r>
  <r>
    <x v="89"/>
    <n v="6033.8939560439503"/>
    <n v="5773.0773351648404"/>
    <n v="6101.0846153846196"/>
    <n v="6046.4951236263696"/>
    <n v="5805.5824862637401"/>
    <n v="5958.1545329670298"/>
    <n v="5582.2412087912098"/>
    <n v="6209.6839972527496"/>
    <n v="6186.4405906593402"/>
    <n v="5901.2678571428596"/>
    <n v="59597.921703296714"/>
  </r>
  <r>
    <x v="90"/>
    <n v="6031.2844780219802"/>
    <n v="5764.8865842490804"/>
    <n v="6104.31105769231"/>
    <n v="6046.35277014652"/>
    <n v="5798.9152014652"/>
    <n v="5961.0043498168498"/>
    <n v="5574.0560210622698"/>
    <n v="6216.4472069597095"/>
    <n v="6188.7255036630004"/>
    <n v="5895.0922619047597"/>
    <n v="59581.075434981685"/>
  </r>
  <r>
    <x v="91"/>
    <n v="6028.6750000000002"/>
    <n v="5756.6958333333296"/>
    <n v="6107.5375000000004"/>
    <n v="6046.2104166666704"/>
    <n v="5792.2479166666699"/>
    <n v="5963.8541666666697"/>
    <n v="5565.8708333333298"/>
    <n v="6223.2104166666704"/>
    <n v="6191.0104166666697"/>
    <n v="5888.9166666666697"/>
    <n v="59564.229166666679"/>
  </r>
  <r>
    <x v="92"/>
    <n v="6026.0655219780201"/>
    <n v="5748.5050824175796"/>
    <n v="6110.7639423076898"/>
    <n v="6046.0680631868099"/>
    <n v="5785.5806318681298"/>
    <n v="5966.7039835164796"/>
    <n v="5557.6856456043997"/>
    <n v="6229.9736263736304"/>
    <n v="6193.2953296703299"/>
    <n v="5882.7410714285697"/>
    <n v="59547.382898351643"/>
  </r>
  <r>
    <x v="93"/>
    <n v="6023.45604395604"/>
    <n v="5740.3143315018297"/>
    <n v="6113.9903846153802"/>
    <n v="6045.9257097069603"/>
    <n v="5778.9133470695997"/>
    <n v="5969.5538003662996"/>
    <n v="5549.5004578754597"/>
    <n v="6236.7368360805904"/>
    <n v="6195.5802426739901"/>
    <n v="5876.5654761904798"/>
    <n v="59530.53663003663"/>
  </r>
  <r>
    <x v="94"/>
    <n v="6020.84656593407"/>
    <n v="5732.1235805860797"/>
    <n v="6117.2168269230797"/>
    <n v="6045.7833562271098"/>
    <n v="5772.2460622710596"/>
    <n v="5972.4036172161204"/>
    <n v="5541.3152701465197"/>
    <n v="6243.5000457875403"/>
    <n v="6197.8651556776504"/>
    <n v="5870.3898809523798"/>
    <n v="59513.690361721616"/>
  </r>
  <r>
    <x v="95"/>
    <n v="6018.2370879120899"/>
    <n v="5723.9328296703297"/>
    <n v="6120.4432692307701"/>
    <n v="6045.6410027472502"/>
    <n v="5765.5787774725304"/>
    <n v="5975.2534340659304"/>
    <n v="5533.1300824175796"/>
    <n v="6250.2632554945003"/>
    <n v="6200.1500686813197"/>
    <n v="5864.2142857142899"/>
    <n v="59496.844093406587"/>
  </r>
  <r>
    <x v="96"/>
    <n v="6015.6276098901099"/>
    <n v="5715.7420787545798"/>
    <n v="6123.6697115384604"/>
    <n v="6045.4986492673997"/>
    <n v="5758.9114926739903"/>
    <n v="5978.1032509157503"/>
    <n v="5524.9448946886496"/>
    <n v="6257.0264652014603"/>
    <n v="6202.4349816849799"/>
    <n v="5858.0386904761899"/>
    <n v="59479.997825091566"/>
  </r>
  <r>
    <x v="97"/>
    <n v="6013.0181318681298"/>
    <n v="5707.5513278388298"/>
    <n v="6126.8961538461499"/>
    <n v="6045.3562957875502"/>
    <n v="5752.2442078754602"/>
    <n v="5980.9530677655703"/>
    <n v="5516.7597069597095"/>
    <n v="6263.7896749084202"/>
    <n v="6204.7198946886401"/>
    <n v="5851.8630952381"/>
    <n v="59463.15155677656"/>
  </r>
  <r>
    <x v="98"/>
    <n v="6010.4086538461497"/>
    <n v="5699.3605769230799"/>
    <n v="6130.1225961538503"/>
    <n v="6045.2139423076896"/>
    <n v="5745.5769230769201"/>
    <n v="5983.8028846153802"/>
    <n v="5508.5745192307704"/>
    <n v="6270.5528846153802"/>
    <n v="6207.0048076923104"/>
    <n v="5845.6875"/>
    <n v="59446.305288461546"/>
  </r>
  <r>
    <x v="99"/>
    <n v="6007.7991758241797"/>
    <n v="5691.1698260073299"/>
    <n v="6133.3490384615397"/>
    <n v="6045.0715888278401"/>
    <n v="5738.90963827839"/>
    <n v="5986.6527014652002"/>
    <n v="5500.3893315018304"/>
    <n v="6277.3160943223402"/>
    <n v="6209.2897206959697"/>
    <n v="5839.5119047619"/>
    <n v="59429.459020146518"/>
  </r>
  <r>
    <x v="100"/>
    <n v="6005.1896978021996"/>
    <n v="5682.9790750915699"/>
    <n v="6136.5754807692301"/>
    <n v="6044.9292353479896"/>
    <n v="5732.24235347985"/>
    <n v="5989.5025183150201"/>
    <n v="5492.2041437728903"/>
    <n v="6284.0793040293001"/>
    <n v="6211.5746336996299"/>
    <n v="5833.3363095238101"/>
    <n v="59412.61275183149"/>
  </r>
  <r>
    <x v="101"/>
    <n v="6002.5802197802204"/>
    <n v="5674.78832417582"/>
    <n v="6139.8019230769196"/>
    <n v="6044.78688186813"/>
    <n v="5725.5750686813199"/>
    <n v="5992.35233516484"/>
    <n v="5484.0189560439603"/>
    <n v="6290.8425137362601"/>
    <n v="6213.8595467033001"/>
    <n v="5827.1607142857101"/>
    <n v="59395.766483516483"/>
  </r>
  <r>
    <x v="102"/>
    <n v="5999.9707417582404"/>
    <n v="5666.59757326007"/>
    <n v="6143.02836538462"/>
    <n v="6044.6445283882804"/>
    <n v="5718.9077838827798"/>
    <n v="5995.20215201465"/>
    <n v="5475.8337683150203"/>
    <n v="6297.6057234432201"/>
    <n v="6216.1444597069603"/>
    <n v="5820.9851190476202"/>
    <n v="59378.920215201462"/>
  </r>
  <r>
    <x v="103"/>
    <n v="5997.3612637362603"/>
    <n v="5658.4068223443201"/>
    <n v="6146.2548076923104"/>
    <n v="6044.5021749084299"/>
    <n v="5712.2404990842497"/>
    <n v="5998.0519688644699"/>
    <n v="5467.6485805860802"/>
    <n v="6304.3689331501801"/>
    <n v="6218.4293727106196"/>
    <n v="5814.8095238095202"/>
    <n v="59362.073946886441"/>
  </r>
  <r>
    <x v="104"/>
    <n v="5994.7517857142802"/>
    <n v="5650.2160714285701"/>
    <n v="6149.4812499999998"/>
    <n v="6044.3598214285703"/>
    <n v="5705.5732142857096"/>
    <n v="6000.9017857142899"/>
    <n v="5459.4633928571402"/>
    <n v="6311.13214285714"/>
    <n v="6220.7142857142899"/>
    <n v="5808.6339285714303"/>
    <n v="59345.227678571413"/>
  </r>
  <r>
    <x v="105"/>
    <n v="5992.1423076923102"/>
    <n v="5642.0253205128201"/>
    <n v="6152.7076923076902"/>
    <n v="6044.2174679487198"/>
    <n v="5698.9059294871804"/>
    <n v="6003.7516025640998"/>
    <n v="5451.2782051282002"/>
    <n v="6317.8953525641"/>
    <n v="6222.9991987179501"/>
    <n v="5802.4583333333303"/>
    <n v="59328.381410256392"/>
  </r>
  <r>
    <x v="106"/>
    <n v="5989.5328296703301"/>
    <n v="5633.8345695970702"/>
    <n v="6155.9341346153797"/>
    <n v="6044.0751144688702"/>
    <n v="5692.2386446886403"/>
    <n v="6006.6014194139198"/>
    <n v="5443.0930173992701"/>
    <n v="6324.65856227106"/>
    <n v="6225.2841117216103"/>
    <n v="5796.2827380952403"/>
    <n v="59311.535141941393"/>
  </r>
  <r>
    <x v="107"/>
    <n v="5986.92335164835"/>
    <n v="5625.6438186813202"/>
    <n v="6159.16057692308"/>
    <n v="6043.9327609890097"/>
    <n v="5685.5713598901102"/>
    <n v="6009.4512362637397"/>
    <n v="5434.9078296703301"/>
    <n v="6331.4217719780199"/>
    <n v="6227.5690247252696"/>
    <n v="5790.1071428571404"/>
    <n v="59294.688873626365"/>
  </r>
  <r>
    <x v="108"/>
    <n v="5984.31387362637"/>
    <n v="5617.4530677655703"/>
    <n v="6162.3870192307704"/>
    <n v="6043.7904075091601"/>
    <n v="5678.9040750915801"/>
    <n v="6012.3010531135496"/>
    <n v="5426.7226419413901"/>
    <n v="6338.1849816849799"/>
    <n v="6229.8539377289399"/>
    <n v="5783.9315476190504"/>
    <n v="59277.842605311365"/>
  </r>
  <r>
    <x v="109"/>
    <n v="5981.7043956043999"/>
    <n v="5609.2623168498203"/>
    <n v="6165.6134615384599"/>
    <n v="6043.6480540293096"/>
    <n v="5672.23679029304"/>
    <n v="6015.1508699633696"/>
    <n v="5418.53745421245"/>
    <n v="6344.9481913919399"/>
    <n v="6232.1388507326001"/>
    <n v="5777.7559523809496"/>
    <n v="59260.99633699633"/>
  </r>
  <r>
    <x v="110"/>
    <n v="5979.0949175824198"/>
    <n v="5601.0715659340703"/>
    <n v="6168.8399038461503"/>
    <n v="6043.50570054945"/>
    <n v="5665.5695054945099"/>
    <n v="6018.0006868131904"/>
    <n v="5410.35226648352"/>
    <n v="6351.7114010988998"/>
    <n v="6234.4237637362603"/>
    <n v="5771.5803571428596"/>
    <n v="59244.150068681338"/>
  </r>
  <r>
    <x v="111"/>
    <n v="5976.4854395604398"/>
    <n v="5592.8808150183104"/>
    <n v="6172.0663461538497"/>
    <n v="6043.3633470696004"/>
    <n v="5658.9022206959698"/>
    <n v="6020.8505036630004"/>
    <n v="5402.16707875458"/>
    <n v="6358.4746108058598"/>
    <n v="6236.7086767399296"/>
    <n v="5765.4047619047597"/>
    <n v="59227.30380036631"/>
  </r>
  <r>
    <x v="112"/>
    <n v="5973.8759615384597"/>
    <n v="5584.6900641025604"/>
    <n v="6175.2927884615401"/>
    <n v="6043.2209935897399"/>
    <n v="5652.2349358974398"/>
    <n v="6023.7003205128203"/>
    <n v="5393.9818910256399"/>
    <n v="6365.2378205128198"/>
    <n v="6238.9935897435898"/>
    <n v="5759.2291666666697"/>
    <n v="59210.457532051281"/>
  </r>
  <r>
    <x v="113"/>
    <n v="5971.2664835164796"/>
    <n v="5576.4993131868096"/>
    <n v="6178.5192307692296"/>
    <n v="6043.0786401098903"/>
    <n v="5645.5676510988997"/>
    <n v="6026.5501373626403"/>
    <n v="5385.7967032966999"/>
    <n v="6372.0010302197798"/>
    <n v="6241.2785027472501"/>
    <n v="5753.0535714285697"/>
    <n v="59193.611263736246"/>
  </r>
  <r>
    <x v="114"/>
    <n v="5968.6570054945096"/>
    <n v="5568.3085622710596"/>
    <n v="6181.74567307692"/>
    <n v="6042.9362866300398"/>
    <n v="5638.9003663003696"/>
    <n v="6029.3999542124502"/>
    <n v="5377.6115155677699"/>
    <n v="6378.7642399267397"/>
    <n v="6243.5634157509103"/>
    <n v="5746.8779761904798"/>
    <n v="59176.764995421254"/>
  </r>
  <r>
    <x v="115"/>
    <n v="5966.0475274725304"/>
    <n v="5560.1178113553096"/>
    <n v="6184.9721153846103"/>
    <n v="6042.7939331501802"/>
    <n v="5632.2330815018304"/>
    <n v="6032.2497710622702"/>
    <n v="5369.4263278388298"/>
    <n v="6385.5274496336997"/>
    <n v="6245.8483287545796"/>
    <n v="5740.7023809523798"/>
    <n v="59159.918727106226"/>
  </r>
  <r>
    <x v="116"/>
    <n v="5963.4380494505504"/>
    <n v="5551.9270604395597"/>
    <n v="6188.1985576923098"/>
    <n v="6042.6515796703297"/>
    <n v="5625.5657967033003"/>
    <n v="6035.0995879120901"/>
    <n v="5361.2411401098898"/>
    <n v="6392.2906593406597"/>
    <n v="6248.1332417582398"/>
    <n v="5734.5267857142899"/>
    <n v="59143.072458791219"/>
  </r>
  <r>
    <x v="117"/>
    <n v="5960.8285714285703"/>
    <n v="5543.7363095238097"/>
    <n v="6191.4250000000002"/>
    <n v="6042.5092261904801"/>
    <n v="5618.8985119047602"/>
    <n v="6037.9494047619"/>
    <n v="5353.0559523809497"/>
    <n v="6399.0538690476196"/>
    <n v="6250.4181547619"/>
    <n v="5728.3511904761899"/>
    <n v="59126.226190476176"/>
  </r>
  <r>
    <x v="118"/>
    <n v="5958.2190934065902"/>
    <n v="5535.5455586080598"/>
    <n v="6194.6514423076896"/>
    <n v="6042.3668727106196"/>
    <n v="5612.2312271062301"/>
    <n v="6040.79922161172"/>
    <n v="5344.8707646520197"/>
    <n v="6405.8170787545796"/>
    <n v="6252.7030677655703"/>
    <n v="5722.1755952381"/>
    <n v="59109.379922161177"/>
  </r>
  <r>
    <x v="119"/>
    <n v="5955.6096153846102"/>
    <n v="5527.3548076923098"/>
    <n v="6197.87788461538"/>
    <n v="6042.2245192307701"/>
    <n v="5605.56394230769"/>
    <n v="6043.6490384615399"/>
    <n v="5336.6855769230797"/>
    <n v="6412.5802884615396"/>
    <n v="6254.9879807692296"/>
    <n v="5716"/>
    <n v="59092.533653846149"/>
  </r>
  <r>
    <x v="120"/>
    <n v="5953.0001373626401"/>
    <n v="5519.1640567765598"/>
    <n v="6201.1043269230804"/>
    <n v="6042.0821657509196"/>
    <n v="5598.8966575091599"/>
    <n v="6046.4988553113599"/>
    <n v="5328.5003891941396"/>
    <n v="6419.3434981685004"/>
    <n v="6257.2728937728898"/>
    <n v="5709.8244047619"/>
    <n v="59075.687385531142"/>
  </r>
  <r>
    <x v="121"/>
    <n v="5950.39065934066"/>
    <n v="5510.9733058608099"/>
    <n v="6204.3307692307699"/>
    <n v="6041.93981227106"/>
    <n v="5592.2293727106198"/>
    <n v="6049.3486721611698"/>
    <n v="5320.3152014651996"/>
    <n v="6426.1067078754604"/>
    <n v="6259.55780677656"/>
    <n v="5703.6488095238101"/>
    <n v="59058.841117216121"/>
  </r>
  <r>
    <x v="122"/>
    <n v="5947.78118131868"/>
    <n v="5502.7825549450499"/>
    <n v="6207.5572115384603"/>
    <n v="6041.7974587912104"/>
    <n v="5585.5620879120897"/>
    <n v="6052.1984890109898"/>
    <n v="5312.1300137362596"/>
    <n v="6432.8699175824204"/>
    <n v="6261.8427197802202"/>
    <n v="5697.4732142857101"/>
    <n v="59041.994848901093"/>
  </r>
  <r>
    <x v="123"/>
    <n v="5945.1717032966999"/>
    <n v="5494.5918040293"/>
    <n v="6210.7836538461497"/>
    <n v="6041.6551053113599"/>
    <n v="5578.8948031135496"/>
    <n v="6055.0483058608097"/>
    <n v="5303.9448260073304"/>
    <n v="6439.6331272893804"/>
    <n v="6264.1276327838796"/>
    <n v="5691.2976190476202"/>
    <n v="59025.148580586079"/>
  </r>
  <r>
    <x v="124"/>
    <n v="5942.5622252747298"/>
    <n v="5486.40105311355"/>
    <n v="6214.0100961538501"/>
    <n v="6041.5127518315003"/>
    <n v="5572.2275183150196"/>
    <n v="6057.8981227106196"/>
    <n v="5295.7596382783904"/>
    <n v="6446.3963369963403"/>
    <n v="6266.4125457875498"/>
    <n v="5685.1220238095202"/>
    <n v="59008.302312271066"/>
  </r>
  <r>
    <x v="125"/>
    <n v="5939.9527472527498"/>
    <n v="5478.2103021978"/>
    <n v="6217.2365384615396"/>
    <n v="6041.3703983516498"/>
    <n v="5565.5602335164804"/>
    <n v="6060.7479395604396"/>
    <n v="5287.5744505494504"/>
    <n v="6453.1595467033003"/>
    <n v="6268.69745879121"/>
    <n v="5678.9464285714303"/>
    <n v="58991.456043956052"/>
  </r>
  <r>
    <x v="126"/>
    <n v="5937.3432692307697"/>
    <n v="5470.0195512820501"/>
    <n v="6220.4629807692299"/>
    <n v="6041.2280448718002"/>
    <n v="5558.8929487179503"/>
    <n v="6063.5977564102604"/>
    <n v="5279.3892628205103"/>
    <n v="6459.9227564102603"/>
    <n v="6270.9823717948702"/>
    <n v="5672.7708333333303"/>
    <n v="58974.609775641024"/>
  </r>
  <r>
    <x v="127"/>
    <n v="5934.7337912087896"/>
    <n v="5461.8288003663001"/>
    <n v="6223.6894230769203"/>
    <n v="6041.0856913919397"/>
    <n v="5552.2256639194102"/>
    <n v="6066.4475732600704"/>
    <n v="5271.2040750915703"/>
    <n v="6466.6859661172202"/>
    <n v="6273.2672847985305"/>
    <n v="5666.5952380952403"/>
    <n v="58957.763507325988"/>
  </r>
  <r>
    <x v="128"/>
    <n v="5932.1243131868096"/>
    <n v="5453.6380494505502"/>
    <n v="6226.9158653846198"/>
    <n v="6040.9433379120901"/>
    <n v="5545.5583791208801"/>
    <n v="6069.2973901098903"/>
    <n v="5263.0188873626403"/>
    <n v="6473.4491758241702"/>
    <n v="6275.5521978021998"/>
    <n v="5660.4196428571404"/>
    <n v="58940.917239010989"/>
  </r>
  <r>
    <x v="129"/>
    <n v="5929.5148351648304"/>
    <n v="5445.4472985348002"/>
    <n v="6230.1423076923102"/>
    <n v="6040.8009844322396"/>
    <n v="5538.89109432234"/>
    <n v="6072.1472069597103"/>
    <n v="5254.8336996337002"/>
    <n v="6480.2123855311302"/>
    <n v="6277.83711080586"/>
    <n v="5654.2440476190504"/>
    <n v="58924.070970695975"/>
  </r>
  <r>
    <x v="130"/>
    <n v="5926.9053571428603"/>
    <n v="5437.2565476190503"/>
    <n v="6233.3687499999996"/>
    <n v="6040.65863095238"/>
    <n v="5532.2238095238099"/>
    <n v="6074.9970238095202"/>
    <n v="5246.6485119047602"/>
    <n v="6486.9755952380901"/>
    <n v="6280.1220238095202"/>
    <n v="5648.0684523809496"/>
    <n v="58907.224702380932"/>
  </r>
  <r>
    <x v="131"/>
    <n v="5924.2958791208803"/>
    <n v="5429.0657967033003"/>
    <n v="6236.59519230769"/>
    <n v="6040.5162774725304"/>
    <n v="5525.5565247252798"/>
    <n v="6077.8468406593402"/>
    <n v="5238.4633241758202"/>
    <n v="6493.7388049450501"/>
    <n v="6282.4069368131904"/>
    <n v="5641.8928571428596"/>
    <n v="58890.378434065948"/>
  </r>
  <r>
    <x v="132"/>
    <n v="5921.6864010989002"/>
    <n v="5420.8750457875503"/>
    <n v="6239.8216346153804"/>
    <n v="6040.3739239926699"/>
    <n v="5518.8892399267397"/>
    <n v="6080.6966575091601"/>
    <n v="5230.2781364468901"/>
    <n v="6500.5020146520101"/>
    <n v="6284.6918498168498"/>
    <n v="5635.7172619047597"/>
    <n v="58873.532165750905"/>
  </r>
  <r>
    <x v="133"/>
    <n v="5919.0769230769201"/>
    <n v="5412.6842948717904"/>
    <n v="6243.0480769230799"/>
    <n v="6040.2315705128203"/>
    <n v="5512.2219551282096"/>
    <n v="6083.54647435897"/>
    <n v="5222.0929487179501"/>
    <n v="6507.26522435897"/>
    <n v="6286.97676282051"/>
    <n v="5629.5416666666697"/>
    <n v="58856.685897435891"/>
  </r>
  <r>
    <x v="134"/>
    <n v="5916.4674450549401"/>
    <n v="5404.4935439560404"/>
    <n v="6246.2745192307702"/>
    <n v="6040.0892170329698"/>
    <n v="5505.5546703296704"/>
    <n v="6086.39629120879"/>
    <n v="5213.9077609890101"/>
    <n v="6514.02843406593"/>
    <n v="6289.2616758241802"/>
    <n v="5623.3660714285697"/>
    <n v="58839.839629120863"/>
  </r>
  <r>
    <x v="135"/>
    <n v="5913.85796703297"/>
    <n v="5396.3027930402905"/>
    <n v="6249.5009615384597"/>
    <n v="6039.9468635531102"/>
    <n v="5498.8873855311404"/>
    <n v="6089.2461080586099"/>
    <n v="5205.72257326007"/>
    <n v="6520.79164377289"/>
    <n v="6291.5465888278404"/>
    <n v="5617.1904761904798"/>
    <n v="58822.993360805864"/>
  </r>
  <r>
    <x v="136"/>
    <n v="5911.2484890109899"/>
    <n v="5388.1120421245396"/>
    <n v="6252.7274038461501"/>
    <n v="6039.8045100732597"/>
    <n v="5492.2201007326003"/>
    <n v="6092.0959249084199"/>
    <n v="5197.53738553114"/>
    <n v="6527.55485347985"/>
    <n v="6293.8315018314997"/>
    <n v="5611.0148809523798"/>
    <n v="58806.147092490828"/>
  </r>
  <r>
    <x v="137"/>
    <n v="5908.6390109890099"/>
    <n v="5379.9212912087896"/>
    <n v="6255.9538461538496"/>
    <n v="6039.6621565934101"/>
    <n v="5485.5528159340702"/>
    <n v="6094.9457417582398"/>
    <n v="5189.3521978022"/>
    <n v="6534.3180631868099"/>
    <n v="6296.11641483516"/>
    <n v="5604.8392857142899"/>
    <n v="58789.300824175822"/>
  </r>
  <r>
    <x v="138"/>
    <n v="5906.0295329670298"/>
    <n v="5371.7305402930397"/>
    <n v="6259.1802884615399"/>
    <n v="6039.5198031135496"/>
    <n v="5478.8855311355301"/>
    <n v="6097.7955586080598"/>
    <n v="5181.1670100732599"/>
    <n v="6541.0812728937699"/>
    <n v="6298.4013278388302"/>
    <n v="5598.6636904761899"/>
    <n v="58772.454555860793"/>
  </r>
  <r>
    <x v="139"/>
    <n v="5903.4200549450497"/>
    <n v="5363.5397893772897"/>
    <n v="6262.4067307692303"/>
    <n v="6039.3774496337001"/>
    <n v="5472.218246337"/>
    <n v="6100.6453754578797"/>
    <n v="5172.9818223443199"/>
    <n v="6547.8444826007299"/>
    <n v="6300.6862408424904"/>
    <n v="5592.4880952381"/>
    <n v="58755.608287545794"/>
  </r>
  <r>
    <x v="140"/>
    <n v="5900.8105769230797"/>
    <n v="5355.3490384615297"/>
    <n v="6265.6331730769198"/>
    <n v="6039.2350961538496"/>
    <n v="5465.5509615384599"/>
    <n v="6103.4951923076896"/>
    <n v="5164.7966346153898"/>
    <n v="6554.6076923076898"/>
    <n v="6302.9711538461497"/>
    <n v="5586.3125"/>
    <n v="58738.762019230759"/>
  </r>
  <r>
    <x v="141"/>
    <n v="5898.2010989010996"/>
    <n v="5347.1582875457798"/>
    <n v="6268.8596153846202"/>
    <n v="6039.09274267399"/>
    <n v="5458.8836767399298"/>
    <n v="6106.3450091575096"/>
    <n v="5156.6114468864498"/>
    <n v="6561.3709020146498"/>
    <n v="6305.2560668498199"/>
    <n v="5580.1369047619"/>
    <n v="58721.915750915745"/>
  </r>
  <r>
    <x v="142"/>
    <n v="5895.5916208791195"/>
    <n v="5338.9675366300298"/>
    <n v="6272.0860576923096"/>
    <n v="6038.9503891941404"/>
    <n v="5452.2163919413897"/>
    <n v="6109.1948260073304"/>
    <n v="5148.4262591575098"/>
    <n v="6568.1341117216098"/>
    <n v="6307.5409798534802"/>
    <n v="5573.9613095238101"/>
    <n v="58705.069482600731"/>
  </r>
  <r>
    <x v="143"/>
    <n v="5892.9821428571404"/>
    <n v="5330.7767857142799"/>
    <n v="6275.3125"/>
    <n v="6038.8080357142899"/>
    <n v="5445.5491071428596"/>
    <n v="6112.0446428571404"/>
    <n v="5140.2410714285697"/>
    <n v="6574.8973214285697"/>
    <n v="6309.8258928571404"/>
    <n v="5567.7857142857101"/>
    <n v="58688.223214285703"/>
  </r>
  <r>
    <x v="144"/>
    <n v="5890.3726648351603"/>
    <n v="5322.5860347985299"/>
    <n v="6278.5389423076904"/>
    <n v="6038.6656822344303"/>
    <n v="5438.8818223443204"/>
    <n v="6114.8944597069603"/>
    <n v="5132.0558836996297"/>
    <n v="6581.6605311355297"/>
    <n v="6312.1108058608097"/>
    <n v="5561.6101190476202"/>
    <n v="58671.376945970675"/>
  </r>
  <r>
    <x v="145"/>
    <n v="5887.7631868131903"/>
    <n v="5314.3952838827799"/>
    <n v="6281.7653846153798"/>
    <n v="6038.5233287545798"/>
    <n v="5432.2145375457903"/>
    <n v="6117.7442765567803"/>
    <n v="5123.8706959706997"/>
    <n v="6588.4237408424897"/>
    <n v="6314.3957188644699"/>
    <n v="5555.4345238095202"/>
    <n v="58654.530677655683"/>
  </r>
  <r>
    <x v="146"/>
    <n v="5885.1537087912102"/>
    <n v="5306.20453296703"/>
    <n v="6284.9918269230802"/>
    <n v="6038.3809752747302"/>
    <n v="5425.5472527472502"/>
    <n v="6120.5940934065902"/>
    <n v="5115.6855082417596"/>
    <n v="6595.1869505494496"/>
    <n v="6316.6806318681301"/>
    <n v="5549.2589285714303"/>
    <n v="58637.684409340647"/>
  </r>
  <r>
    <x v="147"/>
    <n v="5882.5442307692301"/>
    <n v="5298.01378205128"/>
    <n v="6288.2182692307697"/>
    <n v="6038.2386217948697"/>
    <n v="5418.8799679487202"/>
    <n v="6123.4439102564102"/>
    <n v="5107.5003205128196"/>
    <n v="6601.9501602564096"/>
    <n v="6318.9655448717904"/>
    <n v="5543.0833333333303"/>
    <n v="58620.838141025633"/>
  </r>
  <r>
    <x v="148"/>
    <n v="5879.9347527472501"/>
    <n v="5289.8230311355301"/>
    <n v="6291.4447115384601"/>
    <n v="6038.0962683150201"/>
    <n v="5412.2126831501801"/>
    <n v="6126.2937271062301"/>
    <n v="5099.3151327838796"/>
    <n v="6608.7133699633696"/>
    <n v="6321.2504578754597"/>
    <n v="5536.9077380952403"/>
    <n v="58603.991872710627"/>
  </r>
  <r>
    <x v="149"/>
    <n v="5877.32527472527"/>
    <n v="5281.6322802197801"/>
    <n v="6294.6711538461504"/>
    <n v="6037.9539148351696"/>
    <n v="5405.54539835165"/>
    <n v="6129.14354395604"/>
    <n v="5091.1299450549504"/>
    <n v="6615.4765796703296"/>
    <n v="6323.5353708791199"/>
    <n v="5530.7321428571404"/>
    <n v="58587.145604395591"/>
  </r>
  <r>
    <x v="150"/>
    <n v="5874.7157967032999"/>
    <n v="5273.4415293040302"/>
    <n v="6297.8975961538499"/>
    <n v="6037.81156135531"/>
    <n v="5398.8781135531099"/>
    <n v="6131.99336080586"/>
    <n v="5082.9447573260104"/>
    <n v="6622.2397893772904"/>
    <n v="6325.8202838827801"/>
    <n v="5524.5565476190504"/>
    <n v="58570.299336080592"/>
  </r>
  <r>
    <x v="151"/>
    <n v="5872.1063186813199"/>
    <n v="5265.2507783882702"/>
    <n v="6301.1240384615403"/>
    <n v="6037.6692078754604"/>
    <n v="5392.2108287545798"/>
    <n v="6134.8431776556799"/>
    <n v="5074.7595695970704"/>
    <n v="6629.0029990842504"/>
    <n v="6328.1051968864504"/>
    <n v="5518.3809523809496"/>
    <n v="58553.453067765578"/>
  </r>
  <r>
    <x v="152"/>
    <n v="5869.4968406593398"/>
    <n v="5257.0600274725202"/>
    <n v="6304.3504807692298"/>
    <n v="6037.5268543956099"/>
    <n v="5385.5435439560397"/>
    <n v="6137.6929945054899"/>
    <n v="5066.5743818681303"/>
    <n v="6635.7662087912104"/>
    <n v="6330.3901098901097"/>
    <n v="5512.2053571428596"/>
    <n v="58536.606799450543"/>
  </r>
  <r>
    <x v="153"/>
    <n v="5866.8873626373597"/>
    <n v="5248.8692765567703"/>
    <n v="6307.5769230769201"/>
    <n v="6037.3845009157503"/>
    <n v="5378.8762591575096"/>
    <n v="6140.5428113553098"/>
    <n v="5058.3891941392003"/>
    <n v="6642.5294184981703"/>
    <n v="6332.6750228937699"/>
    <n v="5506.0297619047597"/>
    <n v="58519.760531135515"/>
  </r>
  <r>
    <x v="154"/>
    <n v="5864.2778846153797"/>
    <n v="5240.6785256410203"/>
    <n v="6310.8033653846196"/>
    <n v="6037.2421474358998"/>
    <n v="5372.2089743589704"/>
    <n v="6143.3926282051298"/>
    <n v="5050.2040064102603"/>
    <n v="6649.2926282051303"/>
    <n v="6334.9599358974401"/>
    <n v="5499.8541666666697"/>
    <n v="58502.914262820515"/>
  </r>
  <r>
    <x v="155"/>
    <n v="5861.6684065934096"/>
    <n v="5232.4877747252704"/>
    <n v="6314.02980769231"/>
    <n v="6037.0997939560402"/>
    <n v="5365.5416895604403"/>
    <n v="6146.2424450549497"/>
    <n v="5042.0188186813202"/>
    <n v="6656.0558379120903"/>
    <n v="6337.2448489011003"/>
    <n v="5493.6785714285697"/>
    <n v="58486.067994505502"/>
  </r>
  <r>
    <x v="156"/>
    <n v="5859.0589285714304"/>
    <n v="5224.2970238095204"/>
    <n v="6317.2562500000004"/>
    <n v="6036.9574404761897"/>
    <n v="5358.8744047619002"/>
    <n v="6149.0922619047597"/>
    <n v="5033.8336309523802"/>
    <n v="6662.8190476190503"/>
    <n v="6339.5297619047597"/>
    <n v="5487.5029761904798"/>
    <n v="58469.221726190466"/>
  </r>
  <r>
    <x v="157"/>
    <n v="5856.4494505494504"/>
    <n v="5216.1062728937704"/>
    <n v="6320.4826923076898"/>
    <n v="6036.8150869963401"/>
    <n v="5352.2071199633701"/>
    <n v="6151.9420787545796"/>
    <n v="5025.6484432234402"/>
    <n v="6669.5822573260102"/>
    <n v="6341.8146749084299"/>
    <n v="5481.3273809523798"/>
    <n v="58452.37545787546"/>
  </r>
  <r>
    <x v="158"/>
    <n v="5853.8399725274703"/>
    <n v="5207.9155219780196"/>
    <n v="6323.7091346153802"/>
    <n v="6036.6727335164796"/>
    <n v="5345.53983516484"/>
    <n v="6154.7918956044005"/>
    <n v="5017.4632554945101"/>
    <n v="6676.3454670329702"/>
    <n v="6344.0995879120901"/>
    <n v="5475.1517857142899"/>
    <n v="58435.529189560446"/>
  </r>
  <r>
    <x v="159"/>
    <n v="5851.2304945054902"/>
    <n v="5199.7247710622696"/>
    <n v="6326.9355769230797"/>
    <n v="6036.53038003663"/>
    <n v="5338.8725503662999"/>
    <n v="6157.6417124542104"/>
    <n v="5009.2780677655701"/>
    <n v="6683.1086767399302"/>
    <n v="6346.3845009157503"/>
    <n v="5468.9761904761899"/>
    <n v="58418.682921245425"/>
  </r>
  <r>
    <x v="160"/>
    <n v="5848.6210164835202"/>
    <n v="5191.5340201465197"/>
    <n v="6330.1620192307701"/>
    <n v="6036.3880265567796"/>
    <n v="5332.2052655677699"/>
    <n v="6160.4915293040303"/>
    <n v="5001.09288003663"/>
    <n v="6689.8718864468901"/>
    <n v="6348.6694139194096"/>
    <n v="5462.8005952381"/>
    <n v="58401.836652930418"/>
  </r>
  <r>
    <x v="161"/>
    <n v="5846.0115384615401"/>
    <n v="5183.3432692307697"/>
    <n v="6333.3884615384604"/>
    <n v="6036.24567307692"/>
    <n v="5325.5379807692298"/>
    <n v="6163.3413461538503"/>
    <n v="4992.90769230769"/>
    <n v="6696.6350961538501"/>
    <n v="6350.9543269230799"/>
    <n v="5456.625"/>
    <n v="58384.990384615383"/>
  </r>
  <r>
    <x v="162"/>
    <n v="5843.40206043956"/>
    <n v="5175.1525183150097"/>
    <n v="6336.6149038461499"/>
    <n v="6036.1033195970704"/>
    <n v="5318.8706959706997"/>
    <n v="6166.1911630036602"/>
    <n v="4984.72250457876"/>
    <n v="6703.3983058608101"/>
    <n v="6353.2392399267401"/>
    <n v="5450.4494047619"/>
    <n v="58368.144116300369"/>
  </r>
  <r>
    <x v="163"/>
    <n v="5840.79258241758"/>
    <n v="5166.9617673992598"/>
    <n v="6339.8413461538503"/>
    <n v="6035.9609661172199"/>
    <n v="5312.2034111721596"/>
    <n v="6169.0409798534802"/>
    <n v="4976.5373168498199"/>
    <n v="6710.16151556777"/>
    <n v="6355.5241529304003"/>
    <n v="5444.2738095238101"/>
    <n v="58351.297847985355"/>
  </r>
  <r>
    <x v="164"/>
    <n v="5838.1831043955999"/>
    <n v="5158.7710164835098"/>
    <n v="6343.0677884615397"/>
    <n v="6035.8186126373603"/>
    <n v="5305.5361263736304"/>
    <n v="6171.8907967033001"/>
    <n v="4968.3521291208799"/>
    <n v="6716.92472527473"/>
    <n v="6357.8090659340696"/>
    <n v="5438.0982142857101"/>
    <n v="58334.451579670327"/>
  </r>
  <r>
    <x v="165"/>
    <n v="5835.5736263736298"/>
    <n v="5150.5802655677599"/>
    <n v="6346.2942307692301"/>
    <n v="6035.6762591575098"/>
    <n v="5298.8688415751003"/>
    <n v="6174.7406135531101"/>
    <n v="4960.1669413919399"/>
    <n v="6723.68793498169"/>
    <n v="6360.0939789377298"/>
    <n v="5431.9226190476202"/>
    <n v="58317.605311355321"/>
  </r>
  <r>
    <x v="166"/>
    <n v="5832.9641483516498"/>
    <n v="5142.3895146520099"/>
    <n v="6349.5206730769196"/>
    <n v="6035.5339056776602"/>
    <n v="5292.2015567765602"/>
    <n v="6177.59043040293"/>
    <n v="4951.9817536629998"/>
    <n v="6730.4511446886399"/>
    <n v="6362.3788919413901"/>
    <n v="5425.7470238095202"/>
    <n v="58300.759043040278"/>
  </r>
  <r>
    <x v="167"/>
    <n v="5830.3546703296697"/>
    <n v="5134.1987637362599"/>
    <n v="6352.74711538462"/>
    <n v="6035.3915521977997"/>
    <n v="5285.5342719780301"/>
    <n v="6180.4402472527499"/>
    <n v="4943.7965659340698"/>
    <n v="6737.2143543955999"/>
    <n v="6364.6638049450503"/>
    <n v="5419.5714285714303"/>
    <n v="58283.912774725271"/>
  </r>
  <r>
    <x v="168"/>
    <n v="5827.7451923076896"/>
    <n v="5126.00801282051"/>
    <n v="6355.9735576923104"/>
    <n v="6035.2491987179501"/>
    <n v="5278.86698717949"/>
    <n v="6183.2900641025599"/>
    <n v="4935.6113782051298"/>
    <n v="6743.9775641025599"/>
    <n v="6366.9487179487196"/>
    <n v="5413.3958333333303"/>
    <n v="58267.06650641025"/>
  </r>
  <r>
    <x v="169"/>
    <n v="5825.1357142857096"/>
    <n v="5117.81726190476"/>
    <n v="6359.2"/>
    <n v="6035.1068452380996"/>
    <n v="5272.1997023809599"/>
    <n v="6186.1398809523798"/>
    <n v="4927.4261904761897"/>
    <n v="6750.7407738095199"/>
    <n v="6369.2336309523798"/>
    <n v="5407.2202380952403"/>
    <n v="58250.220238095237"/>
  </r>
  <r>
    <x v="170"/>
    <n v="5822.5262362637404"/>
    <n v="5109.6265109890101"/>
    <n v="6362.4264423076902"/>
    <n v="6034.96449175824"/>
    <n v="5265.5324175824198"/>
    <n v="6188.9896978021998"/>
    <n v="4919.2410027472497"/>
    <n v="6757.5039835164798"/>
    <n v="6371.51854395604"/>
    <n v="5401.0446428571404"/>
    <n v="58233.373969780208"/>
  </r>
  <r>
    <x v="171"/>
    <n v="5819.9167582417604"/>
    <n v="5101.4357600732601"/>
    <n v="6365.6528846153797"/>
    <n v="6034.8221382783904"/>
    <n v="5258.8651327838897"/>
    <n v="6191.8395146520097"/>
    <n v="4911.0558150183197"/>
    <n v="6764.2671932234398"/>
    <n v="6373.8034569597103"/>
    <n v="5394.8690476190504"/>
    <n v="58216.527701465209"/>
  </r>
  <r>
    <x v="172"/>
    <n v="5817.3072802197803"/>
    <n v="5093.2450091575101"/>
    <n v="6368.87932692308"/>
    <n v="6034.6797847985399"/>
    <n v="5252.1978479853497"/>
    <n v="6194.6893315018297"/>
    <n v="4902.8706272893796"/>
    <n v="6771.0304029303998"/>
    <n v="6376.0883699633696"/>
    <n v="5388.6934523809496"/>
    <n v="58199.681433150188"/>
  </r>
  <r>
    <x v="173"/>
    <n v="5814.6978021978002"/>
    <n v="5085.0542582417502"/>
    <n v="6372.1057692307704"/>
    <n v="6034.5374313186803"/>
    <n v="5245.5305631868196"/>
    <n v="6197.5391483516496"/>
    <n v="4894.6854395604396"/>
    <n v="6777.7936126373597"/>
    <n v="6378.3732829670298"/>
    <n v="5382.5178571428596"/>
    <n v="58182.83516483516"/>
  </r>
  <r>
    <x v="174"/>
    <n v="5812.0883241758202"/>
    <n v="5076.8635073260002"/>
    <n v="6375.3322115384599"/>
    <n v="6034.3950778388298"/>
    <n v="5238.8632783882804"/>
    <n v="6200.3889652014695"/>
    <n v="4886.5002518314996"/>
    <n v="6784.5568223443197"/>
    <n v="6380.6581959707"/>
    <n v="5376.3422619047597"/>
    <n v="58165.988896520139"/>
  </r>
  <r>
    <x v="175"/>
    <n v="5809.4788461538501"/>
    <n v="5068.6727564102503"/>
    <n v="6378.5586538461503"/>
    <n v="6034.2527243589702"/>
    <n v="5232.1959935897503"/>
    <n v="6203.2387820512804"/>
    <n v="4878.3150641025604"/>
    <n v="6791.3200320512797"/>
    <n v="6382.9431089743603"/>
    <n v="5370.1666666666697"/>
    <n v="58149.142628205118"/>
  </r>
  <r>
    <x v="176"/>
    <n v="5806.86936813187"/>
    <n v="5060.4820054945003"/>
    <n v="6381.7850961538497"/>
    <n v="6034.1103708791197"/>
    <n v="5225.5287087912102"/>
    <n v="6206.0885989011003"/>
    <n v="4870.1298763736304"/>
    <n v="6798.0832417582396"/>
    <n v="6385.2280219780196"/>
    <n v="5363.9910714285697"/>
    <n v="58132.296359890119"/>
  </r>
  <r>
    <x v="177"/>
    <n v="5804.25989010989"/>
    <n v="5052.2912545787503"/>
    <n v="6385.0115384615401"/>
    <n v="6033.9680173992701"/>
    <n v="5218.8614239926801"/>
    <n v="6208.9384157509203"/>
    <n v="4861.9446886446904"/>
    <n v="6804.8464514651996"/>
    <n v="6387.5129349816898"/>
    <n v="5357.8154761904798"/>
    <n v="58115.450091575112"/>
  </r>
  <r>
    <x v="178"/>
    <n v="5801.6504120879099"/>
    <n v="5044.1005036630004"/>
    <n v="6388.2379807692296"/>
    <n v="6033.8256639194196"/>
    <n v="5212.19413919414"/>
    <n v="6211.7882326007302"/>
    <n v="4853.7595009157503"/>
    <n v="6811.6096611721596"/>
    <n v="6389.79784798535"/>
    <n v="5351.6398809523798"/>
    <n v="58098.603823260069"/>
  </r>
  <r>
    <x v="179"/>
    <n v="5799.0409340659298"/>
    <n v="5035.9097527472504"/>
    <n v="6391.46442307692"/>
    <n v="6033.68331043956"/>
    <n v="5205.5268543956099"/>
    <n v="6214.6380494505502"/>
    <n v="4845.5743131868103"/>
    <n v="6818.3728708791195"/>
    <n v="6392.0827609890102"/>
    <n v="5345.4642857142899"/>
    <n v="58081.757554945041"/>
  </r>
  <r>
    <x v="180"/>
    <n v="5796.4314560439598"/>
    <n v="5027.7190018314996"/>
    <n v="6394.6908653846103"/>
    <n v="6033.5409569597095"/>
    <n v="5198.8595695970698"/>
    <n v="6217.4878663003701"/>
    <n v="4837.3891254578803"/>
    <n v="6825.1360805860804"/>
    <n v="6394.3676739926696"/>
    <n v="5339.2886904761899"/>
    <n v="58064.911286630035"/>
  </r>
  <r>
    <x v="181"/>
    <n v="5793.8219780219797"/>
    <n v="5019.5282509157496"/>
    <n v="6397.9173076923098"/>
    <n v="6033.39860347985"/>
    <n v="5192.1922847985397"/>
    <n v="6220.3376831501801"/>
    <n v="4829.2039377289402"/>
    <n v="6831.8992902930404"/>
    <n v="6396.6525869963398"/>
    <n v="5333.1130952381"/>
    <n v="58048.065018315028"/>
  </r>
  <r>
    <x v="182"/>
    <n v="5791.2124999999996"/>
    <n v="5011.3374999999996"/>
    <n v="6401.1437500000002"/>
    <n v="6033.2562500000004"/>
    <n v="5185.5249999999996"/>
    <n v="6223.1875"/>
    <n v="4821.0187500000002"/>
    <n v="6838.6625000000004"/>
    <n v="6398.9375"/>
    <n v="5326.9375"/>
    <n v="58031.21875"/>
  </r>
  <r>
    <x v="183"/>
    <n v="5788.6030219780196"/>
    <n v="5003.1467490842497"/>
    <n v="6404.3701923076896"/>
    <n v="6033.1138965201499"/>
    <n v="5178.8577152014695"/>
    <n v="6226.0373168498199"/>
    <n v="4812.8335622710601"/>
    <n v="6845.4257097069603"/>
    <n v="6401.2224130036602"/>
    <n v="5320.7619047619"/>
    <n v="58014.372481684979"/>
  </r>
  <r>
    <x v="184"/>
    <n v="5785.9935439560404"/>
    <n v="4994.9559981684897"/>
    <n v="6407.59663461538"/>
    <n v="6032.9715430402903"/>
    <n v="5172.1904304029304"/>
    <n v="6228.8871336996299"/>
    <n v="4804.6483745421301"/>
    <n v="6852.1889194139203"/>
    <n v="6403.5073260073304"/>
    <n v="5314.5863095238101"/>
    <n v="57997.526213369951"/>
  </r>
  <r>
    <x v="185"/>
    <n v="5783.3840659340603"/>
    <n v="4986.7652472527398"/>
    <n v="6410.8230769230804"/>
    <n v="6032.8291895604398"/>
    <n v="5165.5231456044003"/>
    <n v="6231.7369505494498"/>
    <n v="4796.4631868131901"/>
    <n v="6858.9521291208803"/>
    <n v="6405.7922390109898"/>
    <n v="5308.4107142857101"/>
    <n v="57980.679945054937"/>
  </r>
  <r>
    <x v="186"/>
    <n v="5780.7745879120903"/>
    <n v="4978.5744963369898"/>
    <n v="6414.0495192307699"/>
    <n v="6032.6868360805902"/>
    <n v="5158.8558608058602"/>
    <n v="6234.5867673992698"/>
    <n v="4788.27799908425"/>
    <n v="6865.7153388278402"/>
    <n v="6408.07715201465"/>
    <n v="5302.2351190476202"/>
    <n v="57963.833676739931"/>
  </r>
  <r>
    <x v="187"/>
    <n v="5778.1651098901102"/>
    <n v="4970.3837454212398"/>
    <n v="6417.2759615384603"/>
    <n v="6032.5444826007297"/>
    <n v="5152.1885760073301"/>
    <n v="6237.4365842490797"/>
    <n v="4780.09281135531"/>
    <n v="6872.4785485348002"/>
    <n v="6410.3620650183202"/>
    <n v="5296.0595238095202"/>
    <n v="57946.987408424902"/>
  </r>
  <r>
    <x v="188"/>
    <n v="5775.5556318681301"/>
    <n v="4962.1929945054899"/>
    <n v="6420.5024038461497"/>
    <n v="6032.4021291208801"/>
    <n v="5145.5212912088"/>
    <n v="6240.2864010988997"/>
    <n v="4771.90762362637"/>
    <n v="6879.2417582417602"/>
    <n v="6412.6469780219804"/>
    <n v="5289.8839285714303"/>
    <n v="57930.141140109889"/>
  </r>
  <r>
    <x v="189"/>
    <n v="5772.9461538461501"/>
    <n v="4954.0022435897399"/>
    <n v="6423.7288461538501"/>
    <n v="6032.2597756410296"/>
    <n v="5138.8540064102599"/>
    <n v="6243.1362179487196"/>
    <n v="4763.7224358974399"/>
    <n v="6886.0049679487202"/>
    <n v="6414.9318910256397"/>
    <n v="5283.7083333333303"/>
    <n v="57913.294871794882"/>
  </r>
  <r>
    <x v="190"/>
    <n v="5770.33667582418"/>
    <n v="4945.81149267399"/>
    <n v="6426.9552884615396"/>
    <n v="6032.11742216117"/>
    <n v="5132.1867216117298"/>
    <n v="6245.9860347985305"/>
    <n v="4755.5372481684999"/>
    <n v="6892.7681776556801"/>
    <n v="6417.2168040293"/>
    <n v="5277.5327380952403"/>
    <n v="57896.448603479846"/>
  </r>
  <r>
    <x v="191"/>
    <n v="5767.7271978022"/>
    <n v="4937.62074175824"/>
    <n v="6430.1817307692299"/>
    <n v="6031.9750686813204"/>
    <n v="5125.5194368131897"/>
    <n v="6248.8358516483504"/>
    <n v="4747.3520604395599"/>
    <n v="6899.5313873626401"/>
    <n v="6419.5017170329702"/>
    <n v="5271.3571428571404"/>
    <n v="57879.60233516484"/>
  </r>
  <r>
    <x v="192"/>
    <n v="5765.1177197802199"/>
    <n v="4929.42999084249"/>
    <n v="6433.4081730769203"/>
    <n v="6031.8327152014699"/>
    <n v="5118.8521520146596"/>
    <n v="6251.6856684981703"/>
    <n v="4739.1668727106198"/>
    <n v="6906.2945970696001"/>
    <n v="6421.7866300366304"/>
    <n v="5265.1815476190504"/>
    <n v="57862.756066849834"/>
  </r>
  <r>
    <x v="193"/>
    <n v="5762.5082417582398"/>
    <n v="4921.2392399267401"/>
    <n v="6436.6346153846198"/>
    <n v="6031.6903617216103"/>
    <n v="5112.1848672161204"/>
    <n v="6254.5354853479903"/>
    <n v="4730.9816849816898"/>
    <n v="6913.05780677656"/>
    <n v="6424.0715430402897"/>
    <n v="5259.0059523809496"/>
    <n v="57845.909798534813"/>
  </r>
  <r>
    <x v="194"/>
    <n v="5759.8987637362598"/>
    <n v="4913.0484890109901"/>
    <n v="6439.8610576923102"/>
    <n v="6031.5480082417598"/>
    <n v="5105.5175824175903"/>
    <n v="6257.3853021978002"/>
    <n v="4722.7964972527498"/>
    <n v="6919.82101648352"/>
    <n v="6426.35645604396"/>
    <n v="5252.8303571428596"/>
    <n v="57829.063530219799"/>
  </r>
  <r>
    <x v="195"/>
    <n v="5757.2892857142897"/>
    <n v="4904.8577380952302"/>
    <n v="6443.0874999999996"/>
    <n v="6031.4056547619102"/>
    <n v="5098.8502976190503"/>
    <n v="6260.2351190476202"/>
    <n v="4714.6113095238097"/>
    <n v="6926.58422619048"/>
    <n v="6428.6413690476202"/>
    <n v="5246.6547619047597"/>
    <n v="57812.217261904778"/>
  </r>
  <r>
    <x v="196"/>
    <n v="5754.6798076923096"/>
    <n v="4896.6669871794802"/>
    <n v="6446.31394230769"/>
    <n v="6031.2633012820497"/>
    <n v="5092.1830128205202"/>
    <n v="6263.0849358974401"/>
    <n v="4706.4261217948697"/>
    <n v="6933.3474358974399"/>
    <n v="6430.9262820512804"/>
    <n v="5240.4791666666697"/>
    <n v="57795.370993589757"/>
  </r>
  <r>
    <x v="197"/>
    <n v="5752.0703296703296"/>
    <n v="4888.4762362637302"/>
    <n v="6449.5403846153804"/>
    <n v="6031.1209478022001"/>
    <n v="5085.5157280219801"/>
    <n v="6265.9347527472501"/>
    <n v="4698.2409340659297"/>
    <n v="6940.1106456043999"/>
    <n v="6433.2111950549497"/>
    <n v="5234.3035714285697"/>
    <n v="57778.524725274721"/>
  </r>
  <r>
    <x v="198"/>
    <n v="5749.4608516483504"/>
    <n v="4880.2854853479803"/>
    <n v="6452.7668269230799"/>
    <n v="6030.9785943223496"/>
    <n v="5078.84844322345"/>
    <n v="6268.78456959707"/>
    <n v="4690.0557463369996"/>
    <n v="6946.8738553113599"/>
    <n v="6435.4961080586099"/>
    <n v="5228.1279761904798"/>
    <n v="57761.678456959722"/>
  </r>
  <r>
    <x v="199"/>
    <n v="5746.8513736263703"/>
    <n v="4872.0947344322303"/>
    <n v="6455.9932692307702"/>
    <n v="6030.83624084249"/>
    <n v="5072.1811584249099"/>
    <n v="6271.6343864468899"/>
    <n v="4681.8705586080596"/>
    <n v="6953.6370650183198"/>
    <n v="6437.7810210622702"/>
    <n v="5221.9523809523798"/>
    <n v="57744.832188644694"/>
  </r>
  <r>
    <x v="200"/>
    <n v="5744.2418956043903"/>
    <n v="4863.9039835164804"/>
    <n v="6459.2197115384597"/>
    <n v="6030.6938873626405"/>
    <n v="5065.5138736263798"/>
    <n v="6274.4842032966999"/>
    <n v="4673.6853708791195"/>
    <n v="6960.4002747252698"/>
    <n v="6440.0659340659304"/>
    <n v="5215.7767857142899"/>
    <n v="57727.985920329658"/>
  </r>
  <r>
    <x v="201"/>
    <n v="5741.6324175824202"/>
    <n v="4855.7132326007304"/>
    <n v="6462.4461538461501"/>
    <n v="6030.5515338827799"/>
    <n v="5058.8465888278397"/>
    <n v="6277.3340201465198"/>
    <n v="4665.5001831501804"/>
    <n v="6967.1634844322298"/>
    <n v="6442.3508470695997"/>
    <n v="5209.6011904761899"/>
    <n v="57711.139652014645"/>
  </r>
  <r>
    <x v="202"/>
    <n v="5739.0229395604401"/>
    <n v="4847.5224816849804"/>
    <n v="6465.6725961538496"/>
    <n v="6030.4091804029304"/>
    <n v="5052.1793040293096"/>
    <n v="6280.1838369963398"/>
    <n v="4657.3149954212504"/>
    <n v="6973.9266941391897"/>
    <n v="6444.6357600732599"/>
    <n v="5203.4255952381"/>
    <n v="57694.293383699645"/>
  </r>
  <r>
    <x v="203"/>
    <n v="5736.4134615384601"/>
    <n v="4839.3317307692296"/>
    <n v="6468.8990384615399"/>
    <n v="6030.2668269230799"/>
    <n v="5045.5120192307704"/>
    <n v="6283.0336538461497"/>
    <n v="4649.1298076923104"/>
    <n v="6980.6899038461497"/>
    <n v="6446.9206730769201"/>
    <n v="5197.25"/>
    <n v="57677.447115384617"/>
  </r>
  <r>
    <x v="204"/>
    <n v="5733.80398351648"/>
    <n v="4831.1409798534796"/>
    <n v="6472.1254807692303"/>
    <n v="6030.1244734432203"/>
    <n v="5038.8447344322403"/>
    <n v="6285.8834706959697"/>
    <n v="4640.9446199633703"/>
    <n v="6987.4531135531097"/>
    <n v="6449.2055860805904"/>
    <n v="5191.0744047619"/>
    <n v="57660.600847069589"/>
  </r>
  <r>
    <x v="205"/>
    <n v="5731.1945054945099"/>
    <n v="4822.9502289377297"/>
    <n v="6475.3519230769198"/>
    <n v="6029.9821199633698"/>
    <n v="5032.1774496337002"/>
    <n v="6288.7332875457896"/>
    <n v="4632.7594322344303"/>
    <n v="6994.2163232600697"/>
    <n v="6451.4904990842497"/>
    <n v="5184.8988095238101"/>
    <n v="57643.754578754575"/>
  </r>
  <r>
    <x v="206"/>
    <n v="5728.5850274725299"/>
    <n v="4814.7594780219697"/>
    <n v="6478.5783653846202"/>
    <n v="6029.8397664835202"/>
    <n v="5025.5101648351701"/>
    <n v="6291.5831043955995"/>
    <n v="4624.5742445055002"/>
    <n v="7000.9795329670296"/>
    <n v="6453.7754120879099"/>
    <n v="5178.7232142857101"/>
    <n v="57626.908310439561"/>
  </r>
  <r>
    <x v="207"/>
    <n v="5725.9755494505498"/>
    <n v="4806.5687271062197"/>
    <n v="6481.8048076923096"/>
    <n v="6029.6974130036597"/>
    <n v="5018.84288003663"/>
    <n v="6294.4329212454204"/>
    <n v="4616.3890567765602"/>
    <n v="7007.7427426739896"/>
    <n v="6456.0603250915801"/>
    <n v="5172.5476190476202"/>
    <n v="57610.06204212454"/>
  </r>
  <r>
    <x v="208"/>
    <n v="5723.3660714285697"/>
    <n v="4798.3779761904698"/>
    <n v="6485.03125"/>
    <n v="6029.5550595238101"/>
    <n v="5012.1755952381"/>
    <n v="6297.2827380952403"/>
    <n v="4608.2038690476202"/>
    <n v="7014.5059523809496"/>
    <n v="6458.3452380952403"/>
    <n v="5166.3720238095202"/>
    <n v="57593.215773809505"/>
  </r>
  <r>
    <x v="209"/>
    <n v="5720.7565934065897"/>
    <n v="4790.1872252747198"/>
    <n v="6488.2576923076904"/>
    <n v="6029.4127060439596"/>
    <n v="5005.5083104395599"/>
    <n v="6300.1325549450503"/>
    <n v="4600.0186813186801"/>
    <n v="7021.2691620879104"/>
    <n v="6460.6301510988997"/>
    <n v="5160.1964285714303"/>
    <n v="57576.369505494491"/>
  </r>
  <r>
    <x v="210"/>
    <n v="5718.1471153846196"/>
    <n v="4781.9964743589699"/>
    <n v="6491.4841346153798"/>
    <n v="6029.2703525641"/>
    <n v="4998.8410256410298"/>
    <n v="6302.9823717948702"/>
    <n v="4591.8334935897401"/>
    <n v="7028.0323717948704"/>
    <n v="6462.9150641025599"/>
    <n v="5154.0208333333303"/>
    <n v="57559.523237179463"/>
  </r>
  <r>
    <x v="211"/>
    <n v="5715.5376373626405"/>
    <n v="4773.8057234432199"/>
    <n v="6494.7105769230802"/>
    <n v="6029.1279990842504"/>
    <n v="4992.1737408424997"/>
    <n v="6305.8321886446902"/>
    <n v="4583.6483058608101"/>
    <n v="7034.7955815018304"/>
    <n v="6465.1999771062301"/>
    <n v="5147.8452380952403"/>
    <n v="57542.676968864485"/>
  </r>
  <r>
    <x v="212"/>
    <n v="5712.9281593406604"/>
    <n v="4765.6149725274699"/>
    <n v="6497.9370192307697"/>
    <n v="6028.9856456043999"/>
    <n v="4985.5064560439596"/>
    <n v="6308.6820054945101"/>
    <n v="4575.46311813187"/>
    <n v="7041.5587912087904"/>
    <n v="6467.4848901098903"/>
    <n v="5141.6696428571404"/>
    <n v="57525.83070054945"/>
  </r>
  <r>
    <x v="213"/>
    <n v="5710.3186813186803"/>
    <n v="4757.42422161172"/>
    <n v="6501.1634615384601"/>
    <n v="6028.8432921245403"/>
    <n v="4978.8391712454304"/>
    <n v="6311.5318223443201"/>
    <n v="4567.27793040293"/>
    <n v="7048.3220009157503"/>
    <n v="6469.7698031135496"/>
    <n v="5135.4940476190504"/>
    <n v="57508.984432234436"/>
  </r>
  <r>
    <x v="214"/>
    <n v="5707.7092032967003"/>
    <n v="4749.23347069597"/>
    <n v="6504.3899038461504"/>
    <n v="6028.7009386446898"/>
    <n v="4972.1718864468903"/>
    <n v="6314.38163919414"/>
    <n v="4559.09274267399"/>
    <n v="7055.0852106227103"/>
    <n v="6472.0547161172199"/>
    <n v="5129.3184523809496"/>
    <n v="57492.138163919408"/>
  </r>
  <r>
    <x v="215"/>
    <n v="5705.0997252747202"/>
    <n v="4741.0427197802201"/>
    <n v="6507.6163461538499"/>
    <n v="6028.5585851648402"/>
    <n v="4965.5046016483602"/>
    <n v="6317.23145604396"/>
    <n v="4550.9075549450599"/>
    <n v="7061.8484203296703"/>
    <n v="6474.3396291208801"/>
    <n v="5123.1428571428596"/>
    <n v="57475.291895604416"/>
  </r>
  <r>
    <x v="216"/>
    <n v="5702.4902472527501"/>
    <n v="4732.8519688644701"/>
    <n v="6510.8427884615403"/>
    <n v="6028.4162316849797"/>
    <n v="4958.8373168498201"/>
    <n v="6320.0812728937699"/>
    <n v="4542.7223672161199"/>
    <n v="7068.6116300366302"/>
    <n v="6476.6245421245403"/>
    <n v="5116.9672619047597"/>
    <n v="57458.445627289388"/>
  </r>
  <r>
    <x v="217"/>
    <n v="5699.8807692307701"/>
    <n v="4724.6612179487101"/>
    <n v="6514.0692307692298"/>
    <n v="6028.2738782051301"/>
    <n v="4952.17003205129"/>
    <n v="6322.9310897435898"/>
    <n v="4534.5371794871799"/>
    <n v="7075.3748397435902"/>
    <n v="6478.9094551282096"/>
    <n v="5110.7916666666697"/>
    <n v="57441.599358974381"/>
  </r>
  <r>
    <x v="218"/>
    <n v="5697.27129120879"/>
    <n v="4716.4704670329602"/>
    <n v="6517.2956730769201"/>
    <n v="6028.1315247252796"/>
    <n v="4945.5027472527499"/>
    <n v="6325.7809065934098"/>
    <n v="4526.3519917582398"/>
    <n v="7082.1380494505502"/>
    <n v="6481.1943681318699"/>
    <n v="5104.6160714285697"/>
    <n v="57424.753090659338"/>
  </r>
  <r>
    <x v="219"/>
    <n v="5694.6618131868099"/>
    <n v="4708.2797161172102"/>
    <n v="6520.5221153846196"/>
    <n v="6027.98917124542"/>
    <n v="4938.8354624542199"/>
    <n v="6328.6307234432197"/>
    <n v="4518.1668040292998"/>
    <n v="7088.9012591575101"/>
    <n v="6483.4792811355301"/>
    <n v="5098.4404761904798"/>
    <n v="57407.906822344317"/>
  </r>
  <r>
    <x v="220"/>
    <n v="5692.0523351648399"/>
    <n v="4700.0889652014603"/>
    <n v="6523.74855769231"/>
    <n v="6027.8468177655704"/>
    <n v="4932.1681776556798"/>
    <n v="6331.4805402930397"/>
    <n v="4509.9816163003698"/>
    <n v="7095.6644688644701"/>
    <n v="6485.7641941391903"/>
    <n v="5092.2648809523798"/>
    <n v="57391.060554029318"/>
  </r>
  <r>
    <x v="221"/>
    <n v="5689.4428571428598"/>
    <n v="4691.8982142857103"/>
    <n v="6526.9750000000004"/>
    <n v="6027.70446428572"/>
    <n v="4925.5008928571497"/>
    <n v="6334.3303571428596"/>
    <n v="4501.7964285714297"/>
    <n v="7102.4276785714301"/>
    <n v="6488.0491071428596"/>
    <n v="5086.0892857142899"/>
    <n v="57374.214285714312"/>
  </r>
  <r>
    <x v="222"/>
    <n v="5686.8333791208797"/>
    <n v="4683.7074633699604"/>
    <n v="6530.2014423076898"/>
    <n v="6027.5621108058604"/>
    <n v="4918.8336080586096"/>
    <n v="6337.1801739926696"/>
    <n v="4493.6112408424897"/>
    <n v="7109.19088827839"/>
    <n v="6490.3340201465198"/>
    <n v="5079.9136904761899"/>
    <n v="57357.368017399254"/>
  </r>
  <r>
    <x v="223"/>
    <n v="5684.2239010988997"/>
    <n v="4675.5167124542104"/>
    <n v="6533.4278846153802"/>
    <n v="6027.4197573260099"/>
    <n v="4912.1663232600804"/>
    <n v="6340.0299908424904"/>
    <n v="4485.4260531135496"/>
    <n v="7115.95409798535"/>
    <n v="6492.6189331501801"/>
    <n v="5073.7380952381"/>
    <n v="57340.521749084248"/>
  </r>
  <r>
    <x v="224"/>
    <n v="5681.6144230769196"/>
    <n v="4667.3259615384604"/>
    <n v="6536.6543269230797"/>
    <n v="6027.2774038461503"/>
    <n v="4905.4990384615403"/>
    <n v="6342.8798076923104"/>
    <n v="4477.2408653846196"/>
    <n v="7122.71730769231"/>
    <n v="6494.9038461538503"/>
    <n v="5067.5625"/>
    <n v="57323.675480769241"/>
  </r>
  <r>
    <x v="225"/>
    <n v="5679.0049450549404"/>
    <n v="4659.1352106227096"/>
    <n v="6539.8807692307701"/>
    <n v="6027.1350503662998"/>
    <n v="4898.8317536630102"/>
    <n v="6345.7296245421203"/>
    <n v="4469.0556776556796"/>
    <n v="7129.48051739927"/>
    <n v="6497.1887591575096"/>
    <n v="5061.38690476191"/>
    <n v="57306.829212454213"/>
  </r>
  <r>
    <x v="226"/>
    <n v="5676.3954670329704"/>
    <n v="4650.9444597069596"/>
    <n v="6543.1072115384604"/>
    <n v="6026.9926968864502"/>
    <n v="4892.1644688644701"/>
    <n v="6348.5794413919402"/>
    <n v="4460.8704899267404"/>
    <n v="7136.2437271062299"/>
    <n v="6499.4736721611698"/>
    <n v="5055.2113095238101"/>
    <n v="57289.982944139199"/>
  </r>
  <r>
    <x v="227"/>
    <n v="5673.7859890109903"/>
    <n v="4642.7537087912096"/>
    <n v="6546.3336538461499"/>
    <n v="6026.8503434065897"/>
    <n v="4885.49718406594"/>
    <n v="6351.4292582417602"/>
    <n v="4452.6853021978004"/>
    <n v="7143.0069368131899"/>
    <n v="6501.75858516484"/>
    <n v="5049.0357142857101"/>
    <n v="57273.136675824178"/>
  </r>
  <r>
    <x v="228"/>
    <n v="5671.1765109890102"/>
    <n v="4634.5629578754497"/>
    <n v="6549.5600961538503"/>
    <n v="6026.7079899267401"/>
    <n v="4878.8298992673999"/>
    <n v="6354.2790750915701"/>
    <n v="4444.5001144688704"/>
    <n v="7149.7701465201499"/>
    <n v="6504.0434981685003"/>
    <n v="5042.8601190476202"/>
    <n v="57256.290407509172"/>
  </r>
  <r>
    <x v="229"/>
    <n v="5668.5670329670302"/>
    <n v="4626.3722069596997"/>
    <n v="6552.7865384615397"/>
    <n v="6026.5656364468896"/>
    <n v="4872.1626144688698"/>
    <n v="6357.1288919413901"/>
    <n v="4436.3149267399303"/>
    <n v="7156.5333562271098"/>
    <n v="6506.3284111721596"/>
    <n v="5036.6845238095202"/>
    <n v="57239.444139194136"/>
  </r>
  <r>
    <x v="230"/>
    <n v="5665.9575549450501"/>
    <n v="4618.1814560439498"/>
    <n v="6556.0129807692301"/>
    <n v="6026.42328296703"/>
    <n v="4865.4953296703297"/>
    <n v="6359.97870879121"/>
    <n v="4428.1297390109903"/>
    <n v="7163.2965659340698"/>
    <n v="6508.6133241758198"/>
    <n v="5030.5089285714303"/>
    <n v="57222.597870879108"/>
  </r>
  <r>
    <x v="231"/>
    <n v="5663.34807692308"/>
    <n v="4609.9907051281998"/>
    <n v="6559.2394230769196"/>
    <n v="6026.2809294871804"/>
    <n v="4858.8280448717996"/>
    <n v="6362.82852564103"/>
    <n v="4419.9445512820503"/>
    <n v="7170.0597756410298"/>
    <n v="6510.89823717949"/>
    <n v="5024.3333333333303"/>
    <n v="57205.751602564109"/>
  </r>
  <r>
    <x v="232"/>
    <n v="5660.7385989011"/>
    <n v="4601.7999542124498"/>
    <n v="6562.46586538462"/>
    <n v="6026.1385760073299"/>
    <n v="4852.1607600732596"/>
    <n v="6365.6783424908399"/>
    <n v="4411.7593635531102"/>
    <n v="7176.8229853479897"/>
    <n v="6513.1831501831502"/>
    <n v="5018.1577380952403"/>
    <n v="57188.905334249081"/>
  </r>
  <r>
    <x v="233"/>
    <n v="5658.1291208791199"/>
    <n v="4593.6092032966999"/>
    <n v="6565.6923076923104"/>
    <n v="6025.9962225274703"/>
    <n v="4845.4934752747304"/>
    <n v="6368.5281593406598"/>
    <n v="4403.5741758241802"/>
    <n v="7183.5861950549497"/>
    <n v="6515.4680631868096"/>
    <n v="5011.9821428571404"/>
    <n v="57172.059065934067"/>
  </r>
  <r>
    <x v="234"/>
    <n v="5655.5196428571398"/>
    <n v="4585.4184523809499"/>
    <n v="6568.9187499999998"/>
    <n v="6025.8538690476198"/>
    <n v="4838.8261904761903"/>
    <n v="6371.3779761904798"/>
    <n v="4395.3889880952402"/>
    <n v="7190.3494047618997"/>
    <n v="6517.7529761904798"/>
    <n v="5005.8065476190504"/>
    <n v="57155.212797619053"/>
  </r>
  <r>
    <x v="235"/>
    <n v="5652.9101648351598"/>
    <n v="4577.2277014652"/>
    <n v="6572.1451923076902"/>
    <n v="6025.7115155677702"/>
    <n v="4832.1589056776602"/>
    <n v="6374.2277930402897"/>
    <n v="4387.2038003663001"/>
    <n v="7197.1126144688596"/>
    <n v="6520.03788919414"/>
    <n v="4999.6309523809496"/>
    <n v="57138.36652930401"/>
  </r>
  <r>
    <x v="236"/>
    <n v="5650.3006868131897"/>
    <n v="4569.03695054945"/>
    <n v="6575.3716346153797"/>
    <n v="6025.5691620879097"/>
    <n v="4825.4916208791301"/>
    <n v="6377.0776098901097"/>
    <n v="4379.0186126373601"/>
    <n v="7203.8758241758196"/>
    <n v="6522.3228021978002"/>
    <n v="4993.4553571428596"/>
    <n v="57121.520260989004"/>
  </r>
  <r>
    <x v="237"/>
    <n v="5647.6912087912096"/>
    <n v="4560.8461996337001"/>
    <n v="6578.59807692308"/>
    <n v="6025.4268086080601"/>
    <n v="4818.82433608059"/>
    <n v="6379.9274267399296"/>
    <n v="4370.8334249084301"/>
    <n v="7210.6390338827796"/>
    <n v="6524.6077152014605"/>
    <n v="4987.2797619047597"/>
    <n v="57104.673992673997"/>
  </r>
  <r>
    <x v="238"/>
    <n v="5645.0817307692296"/>
    <n v="4552.6554487179501"/>
    <n v="6581.8245192307704"/>
    <n v="6025.2844551282096"/>
    <n v="4812.1570512820599"/>
    <n v="6382.7772435897396"/>
    <n v="4362.64823717949"/>
    <n v="7217.4022435897396"/>
    <n v="6526.8926282051298"/>
    <n v="4981.1041666666697"/>
    <n v="57087.827724358998"/>
  </r>
  <r>
    <x v="239"/>
    <n v="5642.4722527472504"/>
    <n v="4544.4646978021901"/>
    <n v="6585.0509615384599"/>
    <n v="6025.14210164835"/>
    <n v="4805.4897664835198"/>
    <n v="6385.6270604395604"/>
    <n v="4354.46304945055"/>
    <n v="7224.1654532967004"/>
    <n v="6529.17754120879"/>
    <n v="4974.9285714285697"/>
    <n v="57070.981456043934"/>
  </r>
  <r>
    <x v="240"/>
    <n v="5639.8627747252704"/>
    <n v="4536.2739468864402"/>
    <n v="6588.2774038461503"/>
    <n v="6024.9997481685004"/>
    <n v="4798.8224816849897"/>
    <n v="6388.4768772893804"/>
    <n v="4346.27786172161"/>
    <n v="7230.9286630036604"/>
    <n v="6531.4624542124502"/>
    <n v="4968.7529761904798"/>
    <n v="57054.135187728934"/>
  </r>
  <r>
    <x v="241"/>
    <n v="5637.2532967033003"/>
    <n v="4528.0831959706902"/>
    <n v="6591.5038461538497"/>
    <n v="6024.8573946886499"/>
    <n v="4792.1551968864496"/>
    <n v="6391.3266941391903"/>
    <n v="4338.0926739926699"/>
    <n v="7237.6918727106204"/>
    <n v="6533.7473672161204"/>
    <n v="4962.5773809523798"/>
    <n v="57037.288919413921"/>
  </r>
  <r>
    <x v="242"/>
    <n v="5634.6438186813202"/>
    <n v="4519.8924450549403"/>
    <n v="6594.7302884615401"/>
    <n v="6024.7150412087904"/>
    <n v="4785.4879120879204"/>
    <n v="6394.1765109890102"/>
    <n v="4329.9074862637399"/>
    <n v="7244.4550824175803"/>
    <n v="6536.0322802197798"/>
    <n v="4956.4017857142899"/>
    <n v="57020.442651098907"/>
  </r>
  <r>
    <x v="243"/>
    <n v="5632.0343406593402"/>
    <n v="4511.7016941391903"/>
    <n v="6597.9567307692296"/>
    <n v="6024.5726877289399"/>
    <n v="4778.8206272893804"/>
    <n v="6397.0263278388302"/>
    <n v="4321.7222985347998"/>
    <n v="7251.2182921245403"/>
    <n v="6538.31719322344"/>
    <n v="4950.2261904761899"/>
    <n v="57003.596382783879"/>
  </r>
  <r>
    <x v="244"/>
    <n v="5629.4248626373601"/>
    <n v="4503.5109432234403"/>
    <n v="6601.18317307692"/>
    <n v="6024.4303342490803"/>
    <n v="4772.1533424908503"/>
    <n v="6399.8761446886401"/>
    <n v="4313.5371108058598"/>
    <n v="7257.9815018315003"/>
    <n v="6540.6021062271102"/>
    <n v="4944.0505952381"/>
    <n v="56986.750114468858"/>
  </r>
  <r>
    <x v="245"/>
    <n v="5626.81538461538"/>
    <n v="4495.3201923076904"/>
    <n v="6604.4096153846103"/>
    <n v="6024.2879807692298"/>
    <n v="4765.4860576923102"/>
    <n v="6402.7259615384601"/>
    <n v="4305.3519230769198"/>
    <n v="7264.7447115384603"/>
    <n v="6542.8870192307704"/>
    <n v="4937.875"/>
    <n v="56969.903846153822"/>
  </r>
  <r>
    <x v="246"/>
    <n v="5624.20590659341"/>
    <n v="4487.1294413919404"/>
    <n v="6607.6360576923098"/>
    <n v="6024.1456272893802"/>
    <n v="4758.8187728937801"/>
    <n v="6405.57577838828"/>
    <n v="4297.1667353479897"/>
    <n v="7271.5079212454202"/>
    <n v="6545.1719322344297"/>
    <n v="4931.69940476191"/>
    <n v="56953.057577838852"/>
  </r>
  <r>
    <x v="247"/>
    <n v="5621.5964285714299"/>
    <n v="4478.9386904761895"/>
    <n v="6610.8625000000002"/>
    <n v="6024.0032738095197"/>
    <n v="4752.15148809524"/>
    <n v="6408.4255952381"/>
    <n v="4288.9815476190497"/>
    <n v="7278.2711309523802"/>
    <n v="6547.4568452381"/>
    <n v="4925.5238095238101"/>
    <n v="56936.211309523816"/>
  </r>
  <r>
    <x v="248"/>
    <n v="5618.9869505494498"/>
    <n v="4470.7479395604396"/>
    <n v="6614.0889423076896"/>
    <n v="6023.8609203296701"/>
    <n v="4745.4842032967099"/>
    <n v="6411.2754120879099"/>
    <n v="4280.7963598901097"/>
    <n v="7285.0343406593402"/>
    <n v="6549.7417582417602"/>
    <n v="4919.3482142857101"/>
    <n v="56919.365041208788"/>
  </r>
  <r>
    <x v="249"/>
    <n v="5616.3774725274698"/>
    <n v="4462.5571886446896"/>
    <n v="6617.31538461538"/>
    <n v="6023.7185668498196"/>
    <n v="4738.8169184981698"/>
    <n v="6414.1252289377298"/>
    <n v="4272.6111721611696"/>
    <n v="7291.7975503663001"/>
    <n v="6552.0266712454204"/>
    <n v="4913.1726190476202"/>
    <n v="56902.51877289376"/>
  </r>
  <r>
    <x v="250"/>
    <n v="5613.7679945054897"/>
    <n v="4454.3664377289297"/>
    <n v="6620.5418269230804"/>
    <n v="6023.57621336996"/>
    <n v="4732.1496336996397"/>
    <n v="6416.9750457875498"/>
    <n v="4264.4259844322396"/>
    <n v="7298.5607600732601"/>
    <n v="6554.3115842490797"/>
    <n v="4906.9970238095202"/>
    <n v="56885.672504578746"/>
  </r>
  <r>
    <x v="251"/>
    <n v="5611.1585164835196"/>
    <n v="4446.1756868131797"/>
    <n v="6623.7682692307699"/>
    <n v="6023.4338598901104"/>
    <n v="4725.4823489010996"/>
    <n v="6419.8248626373597"/>
    <n v="4256.2407967032996"/>
    <n v="7305.3239697802201"/>
    <n v="6556.5964972527499"/>
    <n v="4900.8214285714303"/>
    <n v="56868.826236263732"/>
  </r>
  <r>
    <x v="252"/>
    <n v="5608.5490384615396"/>
    <n v="4437.9849358974298"/>
    <n v="6626.9947115384603"/>
    <n v="6023.2915064102599"/>
    <n v="4718.8150641025704"/>
    <n v="6422.6746794871797"/>
    <n v="4248.0556089743604"/>
    <n v="7312.08717948718"/>
    <n v="6558.8814102564102"/>
    <n v="4894.6458333333303"/>
    <n v="56851.979967948719"/>
  </r>
  <r>
    <x v="253"/>
    <n v="5605.9395604395604"/>
    <n v="4429.7941849816798"/>
    <n v="6630.2211538461497"/>
    <n v="6023.1491529304003"/>
    <n v="4712.1477793040303"/>
    <n v="6425.5244963369996"/>
    <n v="4239.8704212454204"/>
    <n v="7318.85038919414"/>
    <n v="6561.1663232600704"/>
    <n v="4888.4702380952403"/>
    <n v="56835.133699633676"/>
  </r>
  <r>
    <x v="254"/>
    <n v="5603.3300824175803"/>
    <n v="4421.6034340659298"/>
    <n v="6633.4475961538501"/>
    <n v="6023.0067994505498"/>
    <n v="4705.4804945055002"/>
    <n v="6428.3743131868096"/>
    <n v="4231.6852335164804"/>
    <n v="7325.6135989011"/>
    <n v="6563.4512362637397"/>
    <n v="4882.2946428571404"/>
    <n v="56818.287431318684"/>
  </r>
  <r>
    <x v="255"/>
    <n v="5600.7206043956003"/>
    <n v="4413.4126831501799"/>
    <n v="6636.6740384615396"/>
    <n v="6022.8644459707002"/>
    <n v="4698.8132097069602"/>
    <n v="6431.2241300366304"/>
    <n v="4223.5000457875503"/>
    <n v="7332.3768086080599"/>
    <n v="6565.7361492673999"/>
    <n v="4876.1190476190504"/>
    <n v="56801.441163003678"/>
  </r>
  <r>
    <x v="256"/>
    <n v="5598.1111263736302"/>
    <n v="4405.2219322344299"/>
    <n v="6639.9004807692299"/>
    <n v="6022.7220924908397"/>
    <n v="4692.1459249084301"/>
    <n v="6434.0739468864504"/>
    <n v="4215.3148580586103"/>
    <n v="7339.1400183150199"/>
    <n v="6568.0210622710601"/>
    <n v="4869.9434523809496"/>
    <n v="56784.594894688642"/>
  </r>
  <r>
    <x v="257"/>
    <n v="5595.5016483516501"/>
    <n v="4397.03118131868"/>
    <n v="6643.1269230769203"/>
    <n v="6022.5797390109901"/>
    <n v="4685.47864010989"/>
    <n v="6436.9237637362603"/>
    <n v="4207.1296703296703"/>
    <n v="7345.9032280219799"/>
    <n v="6570.3059752747204"/>
    <n v="4863.7678571428596"/>
    <n v="56767.748626373628"/>
  </r>
  <r>
    <x v="258"/>
    <n v="5592.8921703296701"/>
    <n v="4388.84043040293"/>
    <n v="6646.3533653846198"/>
    <n v="6022.4373855311396"/>
    <n v="4678.8113553113599"/>
    <n v="6439.7735805860802"/>
    <n v="4198.9444826007302"/>
    <n v="7352.6664377289399"/>
    <n v="6572.5908882783897"/>
    <n v="4857.5922619047597"/>
    <n v="56750.902358058622"/>
  </r>
  <r>
    <x v="259"/>
    <n v="5590.28269230769"/>
    <n v="4380.64967948718"/>
    <n v="6649.5798076923102"/>
    <n v="6022.29503205128"/>
    <n v="4672.1440705128298"/>
    <n v="6442.6233974359002"/>
    <n v="4190.7592948718002"/>
    <n v="7359.4296474358998"/>
    <n v="6574.8758012820499"/>
    <n v="4851.4166666666697"/>
    <n v="56734.056089743608"/>
  </r>
  <r>
    <x v="260"/>
    <n v="5587.6732142857099"/>
    <n v="4372.4589285714301"/>
    <n v="6652.8062499999996"/>
    <n v="6022.1526785714304"/>
    <n v="4665.4767857142897"/>
    <n v="6445.4732142857101"/>
    <n v="4182.5741071428602"/>
    <n v="7366.1928571428598"/>
    <n v="6577.1607142857101"/>
    <n v="4845.2410714285697"/>
    <n v="56717.209821428572"/>
  </r>
  <r>
    <x v="261"/>
    <n v="5585.0637362637399"/>
    <n v="4364.2681776556701"/>
    <n v="6656.03269230769"/>
    <n v="6022.0103250915799"/>
    <n v="4658.8095009157596"/>
    <n v="6448.3230311355301"/>
    <n v="4174.3889194139201"/>
    <n v="7372.9560668498198"/>
    <n v="6579.4456272893804"/>
    <n v="4839.0654761904798"/>
    <n v="56700.363553113566"/>
  </r>
  <r>
    <x v="262"/>
    <n v="5582.4542582417598"/>
    <n v="4356.0774267399202"/>
    <n v="6659.2591346153804"/>
    <n v="6021.8679716117203"/>
    <n v="4652.1422161172204"/>
    <n v="6451.17284798535"/>
    <n v="4166.2037316849801"/>
    <n v="7379.7192765567797"/>
    <n v="6581.7305402930397"/>
    <n v="4832.8898809523798"/>
    <n v="56683.517284798538"/>
  </r>
  <r>
    <x v="263"/>
    <n v="5579.8447802197798"/>
    <n v="4347.8866758241702"/>
    <n v="6662.4855769230799"/>
    <n v="6021.7256181318699"/>
    <n v="4645.4749313186903"/>
    <n v="6454.02266483516"/>
    <n v="4158.01854395604"/>
    <n v="7386.4824862637397"/>
    <n v="6584.0154532966999"/>
    <n v="4826.7142857142899"/>
    <n v="56666.671016483517"/>
  </r>
  <r>
    <x v="264"/>
    <n v="5577.2353021977997"/>
    <n v="4339.6959249084202"/>
    <n v="6665.7120192307702"/>
    <n v="6021.5832646520203"/>
    <n v="4638.8076465201502"/>
    <n v="6456.8724816849799"/>
    <n v="4149.83335622711"/>
    <n v="7393.2456959706997"/>
    <n v="6586.3003663003701"/>
    <n v="4820.5386904761899"/>
    <n v="56649.824748168503"/>
  </r>
  <r>
    <x v="265"/>
    <n v="5574.6258241758196"/>
    <n v="4331.5051739926703"/>
    <n v="6668.9384615384597"/>
    <n v="6021.4409111721598"/>
    <n v="4632.1403617216201"/>
    <n v="6459.7222985347998"/>
    <n v="4141.64816849817"/>
    <n v="7400.0089056776596"/>
    <n v="6588.5852793040303"/>
    <n v="4814.3630952381"/>
    <n v="56632.978479853482"/>
  </r>
  <r>
    <x v="266"/>
    <n v="5572.0163461538496"/>
    <n v="4323.3144230769203"/>
    <n v="6672.1649038461501"/>
    <n v="6021.2985576923102"/>
    <n v="4625.47307692308"/>
    <n v="6462.5721153846198"/>
    <n v="4133.4629807692299"/>
    <n v="7406.7721153846196"/>
    <n v="6590.8701923076896"/>
    <n v="4808.1875"/>
    <n v="56616.132211538468"/>
  </r>
  <r>
    <x v="267"/>
    <n v="5569.4068681318704"/>
    <n v="4315.1236721611704"/>
    <n v="6675.3913461538496"/>
    <n v="6021.1562042124597"/>
    <n v="4618.80579212455"/>
    <n v="6465.4219322344297"/>
    <n v="4125.2777930402899"/>
    <n v="7413.5353250915796"/>
    <n v="6593.1551053113599"/>
    <n v="4802.01190476191"/>
    <n v="56599.285943223462"/>
  </r>
  <r>
    <x v="268"/>
    <n v="5566.7973901098903"/>
    <n v="4306.9329212454204"/>
    <n v="6678.6177884615399"/>
    <n v="6021.0138507326001"/>
    <n v="4612.1385073260099"/>
    <n v="6468.2717490842497"/>
    <n v="4117.0926053113599"/>
    <n v="7420.2985347985305"/>
    <n v="6595.4400183150201"/>
    <n v="4795.8363095238101"/>
    <n v="56582.439674908426"/>
  </r>
  <r>
    <x v="269"/>
    <n v="5564.1879120879103"/>
    <n v="4298.7421703296704"/>
    <n v="6681.8442307692303"/>
    <n v="6020.8714972527496"/>
    <n v="4605.4712225274798"/>
    <n v="6471.1215659340696"/>
    <n v="4108.9074175824198"/>
    <n v="7427.0617445054904"/>
    <n v="6597.7249313186803"/>
    <n v="4789.6607142857101"/>
    <n v="56565.593406593413"/>
  </r>
  <r>
    <x v="270"/>
    <n v="5561.5784340659302"/>
    <n v="4290.5514194139196"/>
    <n v="6685.0706730769198"/>
    <n v="6020.72914377289"/>
    <n v="4598.8039377289397"/>
    <n v="6473.9713827838796"/>
    <n v="4100.7222298534798"/>
    <n v="7433.8249542124504"/>
    <n v="6600.0098443223396"/>
    <n v="4783.4851190476202"/>
    <n v="56548.74713827837"/>
  </r>
  <r>
    <x v="271"/>
    <n v="5558.9689560439601"/>
    <n v="4282.3606684981696"/>
    <n v="6688.2971153846202"/>
    <n v="6020.5867902930404"/>
    <n v="4592.1366529304096"/>
    <n v="6476.8211996337004"/>
    <n v="4092.5370421245402"/>
    <n v="7440.5881639194104"/>
    <n v="6602.2947573260099"/>
    <n v="4777.3095238095202"/>
    <n v="56531.900869963378"/>
  </r>
  <r>
    <x v="272"/>
    <n v="5556.3594780219801"/>
    <n v="4274.1699175824097"/>
    <n v="6691.5235576923096"/>
    <n v="6020.4444368131899"/>
    <n v="4585.4693681318704"/>
    <n v="6479.6710164835204"/>
    <n v="4084.3518543956002"/>
    <n v="7447.3513736263703"/>
    <n v="6604.5796703296701"/>
    <n v="4771.1339285714303"/>
    <n v="56515.054601648349"/>
  </r>
  <r>
    <x v="273"/>
    <n v="5553.75"/>
    <n v="4265.9791666666597"/>
    <n v="6694.75"/>
    <n v="6020.3020833333303"/>
    <n v="4578.8020833333403"/>
    <n v="6482.5208333333303"/>
    <n v="4076.1666666666702"/>
    <n v="7454.1145833333303"/>
    <n v="6606.8645833333303"/>
    <n v="4764.9583333333303"/>
    <n v="56498.208333333321"/>
  </r>
  <r>
    <x v="274"/>
    <n v="5551.1405219780199"/>
    <n v="4257.7884157509097"/>
    <n v="6697.9764423076904"/>
    <n v="6020.1597298534798"/>
    <n v="4572.1347985348002"/>
    <n v="6485.3706501831502"/>
    <n v="4067.9814789377301"/>
    <n v="7460.8777930402903"/>
    <n v="6609.1494963369996"/>
    <n v="4758.7827380952403"/>
    <n v="56481.362065018315"/>
  </r>
  <r>
    <x v="275"/>
    <n v="5548.5310439560399"/>
    <n v="4249.5976648351598"/>
    <n v="6701.2028846153798"/>
    <n v="6020.0173763736302"/>
    <n v="4565.4675137362701"/>
    <n v="6488.2204670329702"/>
    <n v="4059.7962912087901"/>
    <n v="7467.6410027472502"/>
    <n v="6611.4344093406598"/>
    <n v="4752.6071428571404"/>
    <n v="56464.515796703286"/>
  </r>
  <r>
    <x v="276"/>
    <n v="5545.9215659340698"/>
    <n v="4241.4069139194098"/>
    <n v="6704.4293269230802"/>
    <n v="6019.8750228937697"/>
    <n v="4558.80022893773"/>
    <n v="6491.0702838827801"/>
    <n v="4051.61110347985"/>
    <n v="7474.4042124542102"/>
    <n v="6613.7193223443201"/>
    <n v="4746.4315476190504"/>
    <n v="56447.669528388273"/>
  </r>
  <r>
    <x v="277"/>
    <n v="5543.3120879120897"/>
    <n v="4233.2161630036599"/>
    <n v="6707.6557692307697"/>
    <n v="6019.7326694139201"/>
    <n v="4552.1329441391999"/>
    <n v="6493.9201007326001"/>
    <n v="4043.42591575092"/>
    <n v="7481.1674221611702"/>
    <n v="6616.0042353479903"/>
    <n v="4740.2559523809496"/>
    <n v="56430.823260073266"/>
  </r>
  <r>
    <x v="278"/>
    <n v="5540.7026098901097"/>
    <n v="4225.0254120879099"/>
    <n v="6710.8822115384601"/>
    <n v="6019.5903159340696"/>
    <n v="4545.4656593406598"/>
    <n v="6496.76991758242"/>
    <n v="4035.24072802198"/>
    <n v="7487.9306318681301"/>
    <n v="6618.2891483516496"/>
    <n v="4734.0803571428596"/>
    <n v="56413.97699175826"/>
  </r>
  <r>
    <x v="279"/>
    <n v="5538.0931318681296"/>
    <n v="4216.8346611721599"/>
    <n v="6714.1086538461504"/>
    <n v="6019.44796245421"/>
    <n v="4538.7983745421297"/>
    <n v="6499.61973443223"/>
    <n v="4027.0555402930399"/>
    <n v="7494.6938415750901"/>
    <n v="6620.5740613553098"/>
    <n v="4727.9047619047597"/>
    <n v="56397.130723443217"/>
  </r>
  <r>
    <x v="280"/>
    <n v="5535.4836538461504"/>
    <n v="4208.64391025641"/>
    <n v="6717.3350961538499"/>
    <n v="6019.3056089743604"/>
    <n v="4532.1310897435897"/>
    <n v="6502.4695512820499"/>
    <n v="4018.8703525640999"/>
    <n v="7501.4570512820501"/>
    <n v="6622.85897435897"/>
    <n v="4721.7291666666697"/>
    <n v="56380.284455128203"/>
  </r>
  <r>
    <x v="281"/>
    <n v="5532.8741758241704"/>
    <n v="4200.45315934066"/>
    <n v="6720.5615384615403"/>
    <n v="6019.1632554945099"/>
    <n v="4525.4638049450596"/>
    <n v="6505.3193681318699"/>
    <n v="4010.6851648351699"/>
    <n v="7508.2202609890101"/>
    <n v="6625.1438873626403"/>
    <n v="4715.5535714285697"/>
    <n v="56363.438186813204"/>
  </r>
  <r>
    <x v="282"/>
    <n v="5530.2646978022003"/>
    <n v="4192.2624084249101"/>
    <n v="6723.7879807692298"/>
    <n v="6019.0209020146503"/>
    <n v="4518.7965201465204"/>
    <n v="6508.1691849816798"/>
    <n v="4002.4999771062298"/>
    <n v="7514.98347069597"/>
    <n v="6627.4288003662996"/>
    <n v="4709.3779761904798"/>
    <n v="56346.591918498176"/>
  </r>
  <r>
    <x v="283"/>
    <n v="5527.6552197802202"/>
    <n v="4184.0716575091501"/>
    <n v="6727.0144230769201"/>
    <n v="6018.8785485347998"/>
    <n v="4512.1292353479903"/>
    <n v="6511.0190018314997"/>
    <n v="3994.3147893772898"/>
    <n v="7521.74668040293"/>
    <n v="6629.7137133699598"/>
    <n v="4703.2023809523798"/>
    <n v="56329.74565018314"/>
  </r>
  <r>
    <x v="284"/>
    <n v="5525.0457417582402"/>
    <n v="4175.8809065934001"/>
    <n v="6730.2408653846196"/>
    <n v="6018.7361950549503"/>
    <n v="4505.4619505494602"/>
    <n v="6513.8688186813197"/>
    <n v="3986.1296016483502"/>
    <n v="7528.50989010989"/>
    <n v="6631.99862637363"/>
    <n v="4697.0267857142899"/>
    <n v="56312.899381868148"/>
  </r>
  <r>
    <x v="285"/>
    <n v="5522.4362637362601"/>
    <n v="4167.6901556776502"/>
    <n v="6733.46730769231"/>
    <n v="6018.5938415750898"/>
    <n v="4498.7946657509201"/>
    <n v="6516.7186355311396"/>
    <n v="3977.9444139194102"/>
    <n v="7535.2730998168499"/>
    <n v="6634.2835393772903"/>
    <n v="4690.8511904761899"/>
    <n v="56296.053113553113"/>
  </r>
  <r>
    <x v="286"/>
    <n v="5519.8267857142901"/>
    <n v="4159.4994047619002"/>
    <n v="6736.6937500000004"/>
    <n v="6018.4514880952402"/>
    <n v="4492.12738095239"/>
    <n v="6519.5684523809496"/>
    <n v="3969.7592261904801"/>
    <n v="7542.0363095238099"/>
    <n v="6636.5684523809496"/>
    <n v="4684.6755952381"/>
    <n v="56279.206845238099"/>
  </r>
  <r>
    <x v="287"/>
    <n v="5517.21730769231"/>
    <n v="4151.3086538461503"/>
    <n v="6739.9201923076898"/>
    <n v="6018.3091346153897"/>
    <n v="4485.4600961538499"/>
    <n v="6522.4182692307704"/>
    <n v="3961.5740384615401"/>
    <n v="7548.7995192307699"/>
    <n v="6638.8533653846198"/>
    <n v="4678.5"/>
    <n v="56262.360576923093"/>
  </r>
  <r>
    <x v="288"/>
    <n v="5514.6078296703299"/>
    <n v="4143.1179029304003"/>
    <n v="6743.1466346153802"/>
    <n v="6018.1667811355301"/>
    <n v="4478.7928113553198"/>
    <n v="6525.2680860805904"/>
    <n v="3953.3888507326001"/>
    <n v="7555.5627289377298"/>
    <n v="6641.13827838828"/>
    <n v="4672.32440476191"/>
    <n v="56245.514308608064"/>
  </r>
  <r>
    <x v="289"/>
    <n v="5511.9983516483499"/>
    <n v="4134.9271520146503"/>
    <n v="6746.3730769230797"/>
    <n v="6018.0244276556796"/>
    <n v="4472.1255265567797"/>
    <n v="6528.1179029304003"/>
    <n v="3945.20366300366"/>
    <n v="7562.3259386446898"/>
    <n v="6643.4231913919402"/>
    <n v="4666.1488095238101"/>
    <n v="56228.668040293036"/>
  </r>
  <r>
    <x v="290"/>
    <n v="5509.3888736263698"/>
    <n v="4126.7364010989004"/>
    <n v="6749.5995192307701"/>
    <n v="6017.88207417583"/>
    <n v="4465.4582417582496"/>
    <n v="6530.9677197802202"/>
    <n v="3937.01847527473"/>
    <n v="7569.0891483516498"/>
    <n v="6645.7081043955995"/>
    <n v="4659.9732142857101"/>
    <n v="56211.821771978037"/>
  </r>
  <r>
    <x v="291"/>
    <n v="5506.7793956043997"/>
    <n v="4118.5456501831504"/>
    <n v="6752.8259615384604"/>
    <n v="6017.7397206959704"/>
    <n v="4458.7909569597095"/>
    <n v="6533.8175366300402"/>
    <n v="3928.83328754579"/>
    <n v="7575.8523580586098"/>
    <n v="6647.9930173992698"/>
    <n v="4653.7976190476202"/>
    <n v="56194.975503663023"/>
  </r>
  <r>
    <x v="292"/>
    <n v="5504.1699175824197"/>
    <n v="4110.3548992673996"/>
    <n v="6756.0524038461499"/>
    <n v="6017.5973672161199"/>
    <n v="4452.1236721611804"/>
    <n v="6536.6673534798501"/>
    <n v="3920.6480998168499"/>
    <n v="7582.6155677655697"/>
    <n v="6650.27793040293"/>
    <n v="4647.6220238095202"/>
    <n v="56178.12923534798"/>
  </r>
  <r>
    <x v="293"/>
    <n v="5501.5604395604396"/>
    <n v="4102.1641483516496"/>
    <n v="6759.2788461538503"/>
    <n v="6017.4550137362603"/>
    <n v="4445.4563873626403"/>
    <n v="6539.5171703296701"/>
    <n v="3912.4629120879099"/>
    <n v="7589.3787774725297"/>
    <n v="6652.5628434065902"/>
    <n v="4641.4464285714303"/>
    <n v="56161.282967032967"/>
  </r>
  <r>
    <x v="294"/>
    <n v="5498.9509615384604"/>
    <n v="4093.9733974358901"/>
    <n v="6762.5052884615397"/>
    <n v="6017.3126602564098"/>
    <n v="4438.7891025641102"/>
    <n v="6542.36698717949"/>
    <n v="3904.2777243589799"/>
    <n v="7596.1419871794897"/>
    <n v="6654.8477564102604"/>
    <n v="4635.2708333333303"/>
    <n v="56144.43669871796"/>
  </r>
  <r>
    <x v="295"/>
    <n v="5496.3414835164804"/>
    <n v="4085.7826465201401"/>
    <n v="6765.7317307692301"/>
    <n v="6017.1703067765602"/>
    <n v="4432.1218177655701"/>
    <n v="6545.2168040293"/>
    <n v="3896.0925366300398"/>
    <n v="7602.9051968864496"/>
    <n v="6657.1326694139198"/>
    <n v="4629.0952380952403"/>
    <n v="56127.590430402939"/>
  </r>
  <r>
    <x v="296"/>
    <n v="5493.7320054945003"/>
    <n v="4077.5918956043902"/>
    <n v="6768.9581730769196"/>
    <n v="6017.0279532966997"/>
    <n v="4425.45453296704"/>
    <n v="6548.0666208791199"/>
    <n v="3887.9073489010998"/>
    <n v="7609.6684065934096"/>
    <n v="6659.41758241758"/>
    <n v="4622.9196428571404"/>
    <n v="56110.744162087904"/>
  </r>
  <r>
    <x v="297"/>
    <n v="5491.1225274725302"/>
    <n v="4069.4011446886402"/>
    <n v="6772.18461538462"/>
    <n v="6016.8855998168501"/>
    <n v="4418.7872481684999"/>
    <n v="6550.9164377289399"/>
    <n v="3879.7221611721602"/>
    <n v="7616.4316163003696"/>
    <n v="6661.7024954212402"/>
    <n v="4616.7440476190504"/>
    <n v="56093.897893772904"/>
  </r>
  <r>
    <x v="298"/>
    <n v="5488.5130494505502"/>
    <n v="4061.2103937728898"/>
    <n v="6775.4110576923104"/>
    <n v="6016.7432463369996"/>
    <n v="4412.1199633699698"/>
    <n v="6553.7662545787498"/>
    <n v="3871.5369734432202"/>
    <n v="7623.1948260073304"/>
    <n v="6663.9874084249104"/>
    <n v="4610.5684523809496"/>
    <n v="56077.051625457876"/>
  </r>
  <r>
    <x v="299"/>
    <n v="5485.9035714285701"/>
    <n v="4053.0196428571398"/>
    <n v="6778.6374999999998"/>
    <n v="6016.60089285714"/>
    <n v="4405.4526785714297"/>
    <n v="6556.6160714285697"/>
    <n v="3863.3517857142901"/>
    <n v="7629.9580357142904"/>
    <n v="6666.2723214285697"/>
    <n v="4604.3928571428596"/>
    <n v="56060.205357142862"/>
  </r>
  <r>
    <x v="300"/>
    <n v="5483.29409340659"/>
    <n v="4044.8288919413899"/>
    <n v="6781.8639423076902"/>
    <n v="6016.4585393772904"/>
    <n v="4398.7853937728996"/>
    <n v="6559.4658882783897"/>
    <n v="3855.1665979853501"/>
    <n v="7636.7212454212504"/>
    <n v="6668.55723443223"/>
    <n v="4598.2172619047597"/>
    <n v="56043.359088827841"/>
  </r>
  <r>
    <x v="301"/>
    <n v="5480.68461538462"/>
    <n v="4036.6381410256399"/>
    <n v="6785.0903846153797"/>
    <n v="6016.3161858974399"/>
    <n v="4392.1181089743604"/>
    <n v="6562.3157051281996"/>
    <n v="3846.9814102564101"/>
    <n v="7643.4844551282104"/>
    <n v="6670.8421474359002"/>
    <n v="4592.0416666666697"/>
    <n v="56026.512820512828"/>
  </r>
  <r>
    <x v="302"/>
    <n v="5478.0751373626399"/>
    <n v="4028.44739010989"/>
    <n v="6788.31682692308"/>
    <n v="6016.1738324175803"/>
    <n v="4385.4508241758303"/>
    <n v="6565.1655219780196"/>
    <n v="3838.79622252747"/>
    <n v="7650.2476648351603"/>
    <n v="6673.1270604395604"/>
    <n v="4585.8660714285697"/>
    <n v="56009.666552197807"/>
  </r>
  <r>
    <x v="303"/>
    <n v="5475.4656593406598"/>
    <n v="4020.25663919414"/>
    <n v="6791.5432692307704"/>
    <n v="6016.0314789377298"/>
    <n v="4378.7835393772903"/>
    <n v="6568.0153388278404"/>
    <n v="3830.61103479854"/>
    <n v="7657.0108745421203"/>
    <n v="6675.4119734432197"/>
    <n v="4579.6904761904798"/>
    <n v="55992.820283882793"/>
  </r>
  <r>
    <x v="304"/>
    <n v="5472.8561813186798"/>
    <n v="4012.06588827839"/>
    <n v="6794.7697115384599"/>
    <n v="6015.8891254578803"/>
    <n v="4372.1162545787602"/>
    <n v="6570.8651556776604"/>
    <n v="3822.4258470696"/>
    <n v="7663.7740842490803"/>
    <n v="6677.6968864468899"/>
    <n v="4573.5148809523798"/>
    <n v="55975.974015567779"/>
  </r>
  <r>
    <x v="305"/>
    <n v="5470.2467032966997"/>
    <n v="4003.8751373626301"/>
    <n v="6797.9961538461503"/>
    <n v="6015.7467719780198"/>
    <n v="4365.4489697802201"/>
    <n v="6573.7149725274703"/>
    <n v="3814.2406593406599"/>
    <n v="7670.5372939560402"/>
    <n v="6679.9817994505502"/>
    <n v="4567.3392857142899"/>
    <n v="55959.127747252736"/>
  </r>
  <r>
    <x v="306"/>
    <n v="5467.6372252747296"/>
    <n v="3995.6843864468801"/>
    <n v="6801.2225961538497"/>
    <n v="6015.6044184981702"/>
    <n v="4358.78168498169"/>
    <n v="6576.5647893772903"/>
    <n v="3806.0554716117199"/>
    <n v="7677.3005036630002"/>
    <n v="6682.2667124542104"/>
    <n v="4561.1636904761899"/>
    <n v="55942.28147893773"/>
  </r>
  <r>
    <x v="307"/>
    <n v="5465.0277472527496"/>
    <n v="3987.4936355311302"/>
    <n v="6804.4490384615401"/>
    <n v="6015.4620650183197"/>
    <n v="4352.1144001831499"/>
    <n v="6579.4146062271102"/>
    <n v="3797.8702838827799"/>
    <n v="7684.0637133699602"/>
    <n v="6684.5516254578797"/>
    <n v="4554.9880952381"/>
    <n v="55925.435210622723"/>
  </r>
  <r>
    <x v="308"/>
    <n v="5462.4182692307704"/>
    <n v="3979.3028846153802"/>
    <n v="6807.6754807692296"/>
    <n v="6015.3197115384601"/>
    <n v="4345.4471153846198"/>
    <n v="6582.2644230769201"/>
    <n v="3789.6850961538498"/>
    <n v="7690.8269230769201"/>
    <n v="6686.8365384615399"/>
    <n v="4548.8125"/>
    <n v="55908.588942307695"/>
  </r>
  <r>
    <x v="309"/>
    <n v="5459.8087912087904"/>
    <n v="3971.1121336996298"/>
    <n v="6810.90192307692"/>
    <n v="6015.1773580586096"/>
    <n v="4338.7798305860897"/>
    <n v="6585.1142399267401"/>
    <n v="3781.4999084249098"/>
    <n v="7697.5901327838801"/>
    <n v="6689.1214514652002"/>
    <n v="4542.63690476191"/>
    <n v="55891.742673992674"/>
  </r>
  <r>
    <x v="310"/>
    <n v="5457.1993131868103"/>
    <n v="3962.9213827838798"/>
    <n v="6814.1283653846103"/>
    <n v="6015.03500457876"/>
    <n v="4332.1125457875496"/>
    <n v="6587.96405677656"/>
    <n v="3773.3147206959702"/>
    <n v="7704.3533424908401"/>
    <n v="6691.4063644688604"/>
    <n v="4536.4613095238101"/>
    <n v="55874.896405677646"/>
  </r>
  <r>
    <x v="311"/>
    <n v="5454.5898351648302"/>
    <n v="3954.7306318681299"/>
    <n v="6817.3548076923098"/>
    <n v="6014.8926510989004"/>
    <n v="4325.4452609890204"/>
    <n v="6590.81387362637"/>
    <n v="3765.1295329670302"/>
    <n v="7711.1165521978"/>
    <n v="6693.6912774725297"/>
    <n v="4530.2857142857101"/>
    <n v="55858.050137362625"/>
  </r>
  <r>
    <x v="312"/>
    <n v="5451.9803571428602"/>
    <n v="3946.5398809523799"/>
    <n v="6820.5812500000002"/>
    <n v="6014.7502976190499"/>
    <n v="4318.7779761904803"/>
    <n v="6593.6636904761899"/>
    <n v="3756.9443452381001"/>
    <n v="7717.87976190476"/>
    <n v="6695.9761904761899"/>
    <n v="4524.1101190476202"/>
    <n v="55841.203869047633"/>
  </r>
  <r>
    <x v="313"/>
    <n v="5449.3708791208801"/>
    <n v="3938.34913003663"/>
    <n v="6823.8076923076896"/>
    <n v="6014.6079441391903"/>
    <n v="4312.1106913919502"/>
    <n v="6596.5135073260099"/>
    <n v="3748.7591575091601"/>
    <n v="7724.64297161172"/>
    <n v="6698.2611034798501"/>
    <n v="4517.9345238095202"/>
    <n v="55824.357600732597"/>
  </r>
  <r>
    <x v="314"/>
    <n v="5446.7614010989"/>
    <n v="3930.15837912088"/>
    <n v="6827.03413461538"/>
    <n v="6014.4655906593398"/>
    <n v="4305.4434065934101"/>
    <n v="6599.3633241758198"/>
    <n v="3740.5739697802201"/>
    <n v="7731.40618131868"/>
    <n v="6700.5460164835204"/>
    <n v="4511.7589285714303"/>
    <n v="55807.511332417584"/>
  </r>
  <r>
    <x v="315"/>
    <n v="5444.15192307692"/>
    <n v="3921.96762820513"/>
    <n v="6830.2605769230804"/>
    <n v="6014.3232371794902"/>
    <n v="4298.7761217948801"/>
    <n v="6602.2131410256397"/>
    <n v="3732.38878205128"/>
    <n v="7738.1693910256399"/>
    <n v="6702.8309294871797"/>
    <n v="4505.5833333333303"/>
    <n v="55790.66506410257"/>
  </r>
  <r>
    <x v="316"/>
    <n v="5441.5424450549499"/>
    <n v="3913.7768772893701"/>
    <n v="6833.4870192307699"/>
    <n v="6014.1808836996297"/>
    <n v="4292.10883699634"/>
    <n v="6605.0629578754597"/>
    <n v="3724.20359432234"/>
    <n v="7744.9326007325999"/>
    <n v="6705.1158424908399"/>
    <n v="4499.4077380952403"/>
    <n v="55773.818795787534"/>
  </r>
  <r>
    <x v="317"/>
    <n v="5438.9329670329698"/>
    <n v="3905.5861263736201"/>
    <n v="6836.7134615384603"/>
    <n v="6014.0385302197801"/>
    <n v="4285.4415521978099"/>
    <n v="6607.9127747252696"/>
    <n v="3716.01840659341"/>
    <n v="7751.6958104395599"/>
    <n v="6707.4007554945101"/>
    <n v="4493.2321428571404"/>
    <n v="55756.972527472528"/>
  </r>
  <r>
    <x v="318"/>
    <n v="5436.3234890109898"/>
    <n v="3897.3953754578702"/>
    <n v="6839.9399038461497"/>
    <n v="6013.8961767399296"/>
    <n v="4278.7742673992698"/>
    <n v="6610.7625915750896"/>
    <n v="3707.8332188644699"/>
    <n v="7758.4590201465198"/>
    <n v="6709.6856684981703"/>
    <n v="4487.0565476190504"/>
    <n v="55740.126259157507"/>
  </r>
  <r>
    <x v="319"/>
    <n v="5433.7140109890097"/>
    <n v="3889.2046245421202"/>
    <n v="6843.1663461538501"/>
    <n v="6013.75382326007"/>
    <n v="4272.1069826007397"/>
    <n v="6613.6124084249104"/>
    <n v="3699.6480311355299"/>
    <n v="7765.2222298534798"/>
    <n v="6711.9705815018297"/>
    <n v="4480.8809523809496"/>
    <n v="55723.279990842486"/>
  </r>
  <r>
    <x v="320"/>
    <n v="5431.1045329670296"/>
    <n v="3881.0138736263698"/>
    <n v="6846.3927884615396"/>
    <n v="6013.6114697802204"/>
    <n v="4265.4396978021996"/>
    <n v="6616.4622252747304"/>
    <n v="3691.4628434065899"/>
    <n v="7771.9854395604398"/>
    <n v="6714.2554945054899"/>
    <n v="4474.7053571428596"/>
    <n v="55706.433722527465"/>
  </r>
  <r>
    <x v="321"/>
    <n v="5428.4950549450496"/>
    <n v="3872.8231227106198"/>
    <n v="6849.6192307692299"/>
    <n v="6013.4691163003699"/>
    <n v="4258.7724130036704"/>
    <n v="6619.3120421245403"/>
    <n v="3683.2776556776598"/>
    <n v="7778.7486492673997"/>
    <n v="6716.5404075091601"/>
    <n v="4468.5297619047597"/>
    <n v="55689.587454212451"/>
  </r>
  <r>
    <x v="322"/>
    <n v="5425.8855769230804"/>
    <n v="3864.6323717948699"/>
    <n v="6852.8456730769203"/>
    <n v="6013.3267628205103"/>
    <n v="4252.1051282051303"/>
    <n v="6622.1618589743603"/>
    <n v="3675.0924679487198"/>
    <n v="7785.5118589743597"/>
    <n v="6718.8253205128203"/>
    <n v="4462.3541666666697"/>
    <n v="55672.741185897445"/>
  </r>
  <r>
    <x v="323"/>
    <n v="5423.2760989011003"/>
    <n v="3856.4416208791199"/>
    <n v="6856.0721153846198"/>
    <n v="6013.1844093406598"/>
    <n v="4245.4378434066002"/>
    <n v="6625.0116758241802"/>
    <n v="3666.9072802197802"/>
    <n v="7792.2750686813197"/>
    <n v="6721.1102335164796"/>
    <n v="4456.1785714285697"/>
    <n v="55655.894917582431"/>
  </r>
  <r>
    <x v="324"/>
    <n v="5420.6666208791203"/>
    <n v="3848.25086996337"/>
    <n v="6859.2985576923102"/>
    <n v="6013.0420558608103"/>
    <n v="4238.7705586080601"/>
    <n v="6627.8614926739901"/>
    <n v="3658.7220924908402"/>
    <n v="7799.0382783882797"/>
    <n v="6723.3951465201499"/>
    <n v="4450.0029761904798"/>
    <n v="55639.048649267403"/>
  </r>
  <r>
    <x v="325"/>
    <n v="5418.0571428571402"/>
    <n v="3840.06011904762"/>
    <n v="6862.5249999999996"/>
    <n v="6012.8997023809497"/>
    <n v="4232.10327380953"/>
    <n v="6630.7113095238101"/>
    <n v="3650.5369047619101"/>
    <n v="7805.8014880952396"/>
    <n v="6725.6800595238101"/>
    <n v="4443.8273809523798"/>
    <n v="55622.202380952389"/>
  </r>
  <r>
    <x v="326"/>
    <n v="5415.4476648351601"/>
    <n v="3831.86936813187"/>
    <n v="6865.75144230769"/>
    <n v="6012.7573489011002"/>
    <n v="4225.4359890109899"/>
    <n v="6633.56112637363"/>
    <n v="3642.3517170329701"/>
    <n v="7812.5646978021996"/>
    <n v="6727.9649725274703"/>
    <n v="4437.6517857142899"/>
    <n v="55605.356112637368"/>
  </r>
  <r>
    <x v="327"/>
    <n v="5412.8381868131901"/>
    <n v="3823.6786172161101"/>
    <n v="6868.9778846153804"/>
    <n v="6012.6149954212497"/>
    <n v="4218.7687042124599"/>
    <n v="6636.41094322344"/>
    <n v="3634.1665293040301"/>
    <n v="7819.3279075091596"/>
    <n v="6730.2498855311396"/>
    <n v="4431.4761904761899"/>
    <n v="55588.509844322347"/>
  </r>
  <r>
    <x v="328"/>
    <n v="5410.22870879121"/>
    <n v="3815.4878663003601"/>
    <n v="6872.2043269230699"/>
    <n v="6012.4726419413901"/>
    <n v="4212.1014194139198"/>
    <n v="6639.2607600732599"/>
    <n v="3625.98134157509"/>
    <n v="7826.0911172161204"/>
    <n v="6732.5347985347998"/>
    <n v="4425.3005952381"/>
    <n v="55571.663576007319"/>
  </r>
  <r>
    <x v="329"/>
    <n v="5407.6192307692299"/>
    <n v="3807.2971153846102"/>
    <n v="6875.4307692307702"/>
    <n v="6012.3302884615396"/>
    <n v="4205.4341346153897"/>
    <n v="6642.1105769230799"/>
    <n v="3617.79615384615"/>
    <n v="7832.8543269230804"/>
    <n v="6734.8197115384601"/>
    <n v="4419.125"/>
    <n v="55554.817307692312"/>
  </r>
  <r>
    <x v="330"/>
    <n v="5405.0097527472499"/>
    <n v="3799.1063644688602"/>
    <n v="6878.6572115384597"/>
    <n v="6012.18793498169"/>
    <n v="4198.7668498168496"/>
    <n v="6644.9603937728898"/>
    <n v="3609.61096611722"/>
    <n v="7839.6175366300404"/>
    <n v="6737.1046245421203"/>
    <n v="4412.94940476191"/>
    <n v="55537.971039377284"/>
  </r>
  <r>
    <x v="331"/>
    <n v="5402.4002747252698"/>
    <n v="3790.9156135531098"/>
    <n v="6881.8836538461501"/>
    <n v="6012.0455815018304"/>
    <n v="4192.0995650183204"/>
    <n v="6647.8102106227097"/>
    <n v="3601.4257783882799"/>
    <n v="7846.3807463370003"/>
    <n v="6739.3895375457896"/>
    <n v="4406.7738095238101"/>
    <n v="55521.12477106227"/>
  </r>
  <r>
    <x v="332"/>
    <n v="5399.7907967032997"/>
    <n v="3782.7248626373598"/>
    <n v="6885.1100961538395"/>
    <n v="6011.9032280219799"/>
    <n v="4185.4322802197803"/>
    <n v="6650.6600274725297"/>
    <n v="3593.2405906593399"/>
    <n v="7853.1439560439603"/>
    <n v="6741.6744505494498"/>
    <n v="4400.5982142857101"/>
    <n v="55504.278502747249"/>
  </r>
  <r>
    <x v="333"/>
    <n v="5397.1813186813197"/>
    <n v="3774.5341117216099"/>
    <n v="6888.3365384615399"/>
    <n v="6011.7608745421303"/>
    <n v="4178.7649954212502"/>
    <n v="6653.5098443223396"/>
    <n v="3585.0554029303999"/>
    <n v="7859.9071657509203"/>
    <n v="6743.9593635531101"/>
    <n v="4394.4226190476202"/>
    <n v="55487.432234432243"/>
  </r>
  <r>
    <x v="334"/>
    <n v="5394.5718406593396"/>
    <n v="3766.3433608058599"/>
    <n v="6891.5629807692303"/>
    <n v="6011.6185210622698"/>
    <n v="4172.0977106227201"/>
    <n v="6656.3596611721596"/>
    <n v="3576.8702152014698"/>
    <n v="7866.6703754578803"/>
    <n v="6746.2442765567803"/>
    <n v="4388.2470238095202"/>
    <n v="55470.5859661172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001"/>
    <x v="0"/>
    <s v="Sales Executive"/>
    <n v="22000"/>
    <n v="36"/>
    <x v="0"/>
    <s v="Grocery1"/>
    <n v="29868"/>
  </r>
  <r>
    <n v="1002"/>
    <x v="1"/>
    <s v="Sales Executive"/>
    <n v="22000"/>
    <n v="27"/>
    <x v="1"/>
    <s v="Garments"/>
    <n v="49533"/>
  </r>
  <r>
    <n v="1003"/>
    <x v="2"/>
    <s v="Sales Executive"/>
    <n v="22000"/>
    <n v="35"/>
    <x v="2"/>
    <s v="Grocery1"/>
    <n v="51277"/>
  </r>
  <r>
    <n v="1004"/>
    <x v="3"/>
    <s v="Sales Executive"/>
    <n v="22000"/>
    <n v="42"/>
    <x v="1"/>
    <s v="Garments"/>
    <n v="27730"/>
  </r>
  <r>
    <n v="1005"/>
    <x v="4"/>
    <s v="Sales Executive"/>
    <n v="22000"/>
    <n v="29"/>
    <x v="0"/>
    <s v="Grocery1"/>
    <n v="63959"/>
  </r>
  <r>
    <n v="1006"/>
    <x v="2"/>
    <s v="Sales Executive"/>
    <n v="22000"/>
    <n v="34"/>
    <x v="2"/>
    <s v="Garments"/>
    <n v="44031"/>
  </r>
  <r>
    <n v="1007"/>
    <x v="5"/>
    <s v="Sales Executive"/>
    <n v="22000"/>
    <n v="43"/>
    <x v="3"/>
    <s v="Grocery"/>
    <n v="25970"/>
  </r>
  <r>
    <n v="1008"/>
    <x v="6"/>
    <s v="Sales Executive"/>
    <n v="22000"/>
    <n v="38"/>
    <x v="1"/>
    <s v="Garments"/>
    <n v="49470"/>
  </r>
  <r>
    <n v="1009"/>
    <x v="7"/>
    <s v="Sales Executive"/>
    <n v="22000"/>
    <n v="36"/>
    <x v="2"/>
    <s v="Grocery1"/>
    <n v="51711"/>
  </r>
  <r>
    <n v="1010"/>
    <x v="8"/>
    <s v="Sales Executive"/>
    <n v="22000"/>
    <n v="43"/>
    <x v="2"/>
    <s v="Garments"/>
    <n v="42369"/>
  </r>
  <r>
    <n v="1011"/>
    <x v="2"/>
    <s v="Sales Executive"/>
    <n v="22000"/>
    <n v="44"/>
    <x v="1"/>
    <s v="Grocery"/>
    <n v="55180"/>
  </r>
  <r>
    <n v="1012"/>
    <x v="9"/>
    <s v="Sales Executive"/>
    <n v="22000"/>
    <n v="36"/>
    <x v="1"/>
    <s v="Garments"/>
    <n v="37354"/>
  </r>
  <r>
    <n v="1013"/>
    <x v="10"/>
    <s v="Sales Executive"/>
    <n v="25000"/>
    <n v="42"/>
    <x v="2"/>
    <s v="Grocery"/>
    <n v="61053"/>
  </r>
  <r>
    <n v="1014"/>
    <x v="11"/>
    <s v="Sales Executive"/>
    <n v="25000"/>
    <n v="44"/>
    <x v="3"/>
    <s v="Garments"/>
    <n v="72145"/>
  </r>
  <r>
    <n v="1015"/>
    <x v="12"/>
    <s v="Sales Executive"/>
    <n v="25000"/>
    <n v="45"/>
    <x v="1"/>
    <s v="Grocery"/>
    <n v="33455"/>
  </r>
  <r>
    <n v="1016"/>
    <x v="13"/>
    <s v="Sales Executive"/>
    <n v="25000"/>
    <n v="38"/>
    <x v="0"/>
    <s v="Garments"/>
    <n v="65618"/>
  </r>
  <r>
    <n v="1017"/>
    <x v="14"/>
    <s v="Sales Executive"/>
    <n v="25000"/>
    <n v="44"/>
    <x v="1"/>
    <s v="Grocery"/>
    <n v="34148"/>
  </r>
  <r>
    <n v="1018"/>
    <x v="15"/>
    <s v="Sales Executive"/>
    <n v="25000"/>
    <n v="25"/>
    <x v="1"/>
    <s v="Garments"/>
    <n v="73666"/>
  </r>
  <r>
    <n v="1019"/>
    <x v="16"/>
    <s v="Sales Executive"/>
    <n v="25000"/>
    <n v="34"/>
    <x v="3"/>
    <s v="Grocery"/>
    <n v="61626"/>
  </r>
  <r>
    <n v="1020"/>
    <x v="17"/>
    <s v="Sales Executive"/>
    <n v="25000"/>
    <n v="35"/>
    <x v="2"/>
    <s v="Garments"/>
    <n v="70094"/>
  </r>
  <r>
    <n v="1021"/>
    <x v="18"/>
    <s v="Sales Executive"/>
    <n v="25000"/>
    <n v="35"/>
    <x v="2"/>
    <s v="Grocery"/>
    <n v="43478"/>
  </r>
  <r>
    <n v="1022"/>
    <x v="19"/>
    <s v="Sales Executive"/>
    <n v="25000"/>
    <n v="39"/>
    <x v="0"/>
    <s v="Electronics"/>
    <n v="50982"/>
  </r>
  <r>
    <n v="1023"/>
    <x v="20"/>
    <s v="Sales Executive"/>
    <n v="25000"/>
    <n v="33"/>
    <x v="0"/>
    <s v="Electronics"/>
    <n v="69989"/>
  </r>
  <r>
    <n v="1024"/>
    <x v="21"/>
    <s v="Sales Executive"/>
    <n v="25000"/>
    <n v="29"/>
    <x v="2"/>
    <s v="Electronics"/>
    <n v="28429"/>
  </r>
  <r>
    <n v="1025"/>
    <x v="22"/>
    <s v="Sales Executive"/>
    <n v="25000"/>
    <n v="27"/>
    <x v="1"/>
    <s v="Garments"/>
    <n v="55307"/>
  </r>
  <r>
    <n v="1026"/>
    <x v="23"/>
    <s v="Sales Executive"/>
    <n v="25000"/>
    <n v="34"/>
    <x v="0"/>
    <s v="Grocery"/>
    <n v="47177"/>
  </r>
  <r>
    <n v="1027"/>
    <x v="24"/>
    <s v="Sales Executive"/>
    <n v="25000"/>
    <n v="27"/>
    <x v="2"/>
    <s v="Garments"/>
    <n v="61590"/>
  </r>
  <r>
    <n v="1028"/>
    <x v="25"/>
    <s v="Sales Executive"/>
    <n v="25000"/>
    <n v="31"/>
    <x v="1"/>
    <s v="Grocery"/>
    <n v="48986"/>
  </r>
  <r>
    <n v="1029"/>
    <x v="26"/>
    <s v="Sales Executive"/>
    <n v="25000"/>
    <n v="39"/>
    <x v="1"/>
    <s v="Garments"/>
    <n v="44395"/>
  </r>
  <r>
    <n v="1030"/>
    <x v="27"/>
    <s v="Sales Executive"/>
    <n v="25000"/>
    <n v="33"/>
    <x v="0"/>
    <s v="Grocery"/>
    <n v="39333"/>
  </r>
  <r>
    <n v="1031"/>
    <x v="28"/>
    <s v="Sales Executive"/>
    <n v="25000"/>
    <n v="41"/>
    <x v="2"/>
    <s v="Electronics"/>
    <n v="34001"/>
  </r>
  <r>
    <n v="1032"/>
    <x v="29"/>
    <s v="Sales Executive"/>
    <n v="25000"/>
    <n v="41"/>
    <x v="3"/>
    <s v="Electronics"/>
    <n v="59856"/>
  </r>
  <r>
    <n v="1033"/>
    <x v="30"/>
    <s v="Sales Executive"/>
    <n v="25000"/>
    <n v="39"/>
    <x v="0"/>
    <s v="Electronics"/>
    <n v="43598"/>
  </r>
  <r>
    <n v="1034"/>
    <x v="31"/>
    <s v="Sales Executive"/>
    <n v="25000"/>
    <n v="29"/>
    <x v="3"/>
    <s v="Garments"/>
    <n v="48031"/>
  </r>
  <r>
    <n v="1035"/>
    <x v="32"/>
    <s v="Sales Executive"/>
    <n v="25000"/>
    <n v="45"/>
    <x v="2"/>
    <s v="Grocery"/>
    <n v="36018"/>
  </r>
  <r>
    <n v="1036"/>
    <x v="33"/>
    <s v="Sales Executive"/>
    <n v="25000"/>
    <n v="36"/>
    <x v="0"/>
    <s v="Garments"/>
    <n v="63335"/>
  </r>
  <r>
    <n v="1037"/>
    <x v="34"/>
    <s v="Sales Executive"/>
    <n v="25000"/>
    <n v="31"/>
    <x v="3"/>
    <s v="Grocery"/>
    <n v="42230"/>
  </r>
  <r>
    <n v="1038"/>
    <x v="35"/>
    <s v="Sales Executive"/>
    <n v="25000"/>
    <n v="26"/>
    <x v="0"/>
    <s v="Garments"/>
    <n v="3556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001"/>
    <s v="Rajesh"/>
    <s v="Sales Executive"/>
    <n v="22000"/>
    <n v="36"/>
    <s v="Punjab"/>
    <x v="0"/>
    <n v="29868"/>
  </r>
  <r>
    <n v="1002"/>
    <s v="Mahesh"/>
    <s v="Sales Executive"/>
    <n v="22000"/>
    <n v="27"/>
    <s v="Uttar Pradesh"/>
    <x v="1"/>
    <n v="49533"/>
  </r>
  <r>
    <n v="1003"/>
    <s v="Suresh"/>
    <s v="Sales Executive"/>
    <n v="22000"/>
    <n v="35"/>
    <s v="Delhi"/>
    <x v="0"/>
    <n v="51277"/>
  </r>
  <r>
    <n v="1004"/>
    <s v="Harsh"/>
    <s v="Sales Executive"/>
    <n v="22000"/>
    <n v="42"/>
    <s v="Uttar Pradesh"/>
    <x v="1"/>
    <n v="27730"/>
  </r>
  <r>
    <n v="1005"/>
    <s v="Nitin"/>
    <s v="Sales Executive"/>
    <n v="22000"/>
    <n v="29"/>
    <s v="Punjab"/>
    <x v="0"/>
    <n v="63959"/>
  </r>
  <r>
    <n v="1006"/>
    <s v="Suresh"/>
    <s v="Sales Executive"/>
    <n v="22000"/>
    <n v="34"/>
    <s v="Delhi"/>
    <x v="1"/>
    <n v="44031"/>
  </r>
  <r>
    <n v="1007"/>
    <s v="Sonu"/>
    <s v="Sales Executive"/>
    <n v="22000"/>
    <n v="43"/>
    <s v="Bihar"/>
    <x v="2"/>
    <n v="25970"/>
  </r>
  <r>
    <n v="1008"/>
    <s v="Monu"/>
    <s v="Sales Executive"/>
    <n v="22000"/>
    <n v="38"/>
    <s v="Uttar Pradesh"/>
    <x v="1"/>
    <n v="49470"/>
  </r>
  <r>
    <n v="1009"/>
    <s v="Dharmesh"/>
    <s v="Sales Executive"/>
    <n v="22000"/>
    <n v="36"/>
    <s v="Delhi"/>
    <x v="0"/>
    <n v="51711"/>
  </r>
  <r>
    <n v="1010"/>
    <s v="Bhuwan"/>
    <s v="Sales Executive"/>
    <n v="22000"/>
    <n v="43"/>
    <s v="Delhi"/>
    <x v="1"/>
    <n v="42369"/>
  </r>
  <r>
    <n v="1011"/>
    <s v="Suresh"/>
    <s v="Sales Executive"/>
    <n v="22000"/>
    <n v="44"/>
    <s v="Uttar Pradesh"/>
    <x v="2"/>
    <n v="55180"/>
  </r>
  <r>
    <n v="1012"/>
    <s v="Rajveer"/>
    <s v="Sales Executive"/>
    <n v="22000"/>
    <n v="36"/>
    <s v="Uttar Pradesh"/>
    <x v="1"/>
    <n v="37354"/>
  </r>
  <r>
    <n v="1013"/>
    <s v="Nikumbh"/>
    <s v="Sales Executive"/>
    <n v="25000"/>
    <n v="42"/>
    <s v="Delhi"/>
    <x v="2"/>
    <n v="61053"/>
  </r>
  <r>
    <n v="1014"/>
    <s v="Jayprakash"/>
    <s v="Sales Executive"/>
    <n v="25000"/>
    <n v="44"/>
    <s v="Bihar"/>
    <x v="1"/>
    <n v="72145"/>
  </r>
  <r>
    <n v="1015"/>
    <s v="subham"/>
    <s v="Sales Executive"/>
    <n v="25000"/>
    <n v="45"/>
    <s v="Uttar Pradesh"/>
    <x v="2"/>
    <n v="33455"/>
  </r>
  <r>
    <n v="1016"/>
    <s v="Naina"/>
    <s v="Sales Executive"/>
    <n v="25000"/>
    <n v="38"/>
    <s v="Punjab"/>
    <x v="1"/>
    <n v="65618"/>
  </r>
  <r>
    <n v="1017"/>
    <s v="Jai"/>
    <s v="Sales Executive"/>
    <n v="25000"/>
    <n v="44"/>
    <s v="Uttar Pradesh"/>
    <x v="2"/>
    <n v="34148"/>
  </r>
  <r>
    <n v="1018"/>
    <s v="Rajiv"/>
    <s v="Sales Executive"/>
    <n v="25000"/>
    <n v="25"/>
    <s v="Uttar Pradesh"/>
    <x v="1"/>
    <n v="73666"/>
  </r>
  <r>
    <n v="1019"/>
    <s v="Neeraj"/>
    <s v="Sales Executive"/>
    <n v="25000"/>
    <n v="34"/>
    <s v="Bihar"/>
    <x v="2"/>
    <n v="61626"/>
  </r>
  <r>
    <n v="1020"/>
    <s v="Dheeraj"/>
    <s v="Sales Executive"/>
    <n v="25000"/>
    <n v="35"/>
    <s v="Delhi"/>
    <x v="1"/>
    <n v="70094"/>
  </r>
  <r>
    <n v="1021"/>
    <s v="Muskan"/>
    <s v="Sales Executive"/>
    <n v="25000"/>
    <n v="35"/>
    <s v="Delhi"/>
    <x v="2"/>
    <n v="43478"/>
  </r>
  <r>
    <n v="1022"/>
    <s v="Ritesh"/>
    <s v="Sales Executive"/>
    <n v="25000"/>
    <n v="39"/>
    <s v="Punjab"/>
    <x v="3"/>
    <n v="50982"/>
  </r>
  <r>
    <n v="1023"/>
    <s v="Ranjeet"/>
    <s v="Sales Executive"/>
    <n v="25000"/>
    <n v="33"/>
    <s v="Punjab"/>
    <x v="3"/>
    <n v="69989"/>
  </r>
  <r>
    <n v="1024"/>
    <s v="Sohan"/>
    <s v="Sales Executive"/>
    <n v="25000"/>
    <n v="29"/>
    <s v="Delhi"/>
    <x v="3"/>
    <n v="28429"/>
  </r>
  <r>
    <n v="1025"/>
    <s v="Rohan"/>
    <s v="Sales Executive"/>
    <n v="25000"/>
    <n v="27"/>
    <s v="Uttar Pradesh"/>
    <x v="1"/>
    <n v="55307"/>
  </r>
  <r>
    <n v="1026"/>
    <s v="Rahul"/>
    <s v="Sales Executive"/>
    <n v="25000"/>
    <n v="34"/>
    <s v="Punjab"/>
    <x v="2"/>
    <n v="47177"/>
  </r>
  <r>
    <n v="1027"/>
    <s v="Sonali"/>
    <s v="Sales Executive"/>
    <n v="25000"/>
    <n v="27"/>
    <s v="Delhi"/>
    <x v="1"/>
    <n v="61590"/>
  </r>
  <r>
    <n v="1028"/>
    <s v="Nayak"/>
    <s v="Sales Executive"/>
    <n v="25000"/>
    <n v="31"/>
    <s v="Uttar Pradesh"/>
    <x v="2"/>
    <n v="48986"/>
  </r>
  <r>
    <n v="1029"/>
    <s v="Muneer"/>
    <s v="Sales Executive"/>
    <n v="25000"/>
    <n v="39"/>
    <s v="Uttar Pradesh"/>
    <x v="1"/>
    <n v="44395"/>
  </r>
  <r>
    <n v="1030"/>
    <s v="Dholu"/>
    <s v="Sales Executive"/>
    <n v="25000"/>
    <n v="33"/>
    <s v="Punjab"/>
    <x v="2"/>
    <n v="39333"/>
  </r>
  <r>
    <n v="1031"/>
    <s v="Bholu"/>
    <s v="Sales Executive"/>
    <n v="25000"/>
    <n v="41"/>
    <s v="Delhi"/>
    <x v="3"/>
    <n v="34001"/>
  </r>
  <r>
    <n v="1032"/>
    <s v="Raju"/>
    <s v="Sales Executive"/>
    <n v="25000"/>
    <n v="41"/>
    <s v="Bihar"/>
    <x v="3"/>
    <n v="59856"/>
  </r>
  <r>
    <n v="1033"/>
    <s v="Chutki"/>
    <s v="Sales Executive"/>
    <n v="25000"/>
    <n v="39"/>
    <s v="Punjab"/>
    <x v="3"/>
    <n v="43598"/>
  </r>
  <r>
    <n v="1034"/>
    <s v="Jiten"/>
    <s v="Sales Executive"/>
    <n v="25000"/>
    <n v="29"/>
    <s v="Bihar"/>
    <x v="1"/>
    <n v="48031"/>
  </r>
  <r>
    <n v="1035"/>
    <s v="Jatin"/>
    <s v="Sales Executive"/>
    <n v="25000"/>
    <n v="45"/>
    <s v="Delhi"/>
    <x v="2"/>
    <n v="36018"/>
  </r>
  <r>
    <n v="1036"/>
    <s v="Ankush"/>
    <s v="Sales Executive"/>
    <n v="25000"/>
    <n v="36"/>
    <s v="Punjab"/>
    <x v="1"/>
    <n v="63335"/>
  </r>
  <r>
    <n v="1037"/>
    <s v="Anshul"/>
    <s v="Sales Executive"/>
    <n v="25000"/>
    <n v="31"/>
    <s v="Bihar"/>
    <x v="2"/>
    <n v="42230"/>
  </r>
  <r>
    <n v="1038"/>
    <s v="Anuradha"/>
    <s v="Sales Executive"/>
    <n v="25000"/>
    <n v="26"/>
    <s v="Punjab"/>
    <x v="1"/>
    <n v="355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8B594-4153-4EB1-A12D-070DFDF900A7}" name="PivotTable3" cacheId="5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2" firstHeaderRow="1" firstDataRow="1" firstDataCol="1"/>
  <pivotFields count="13">
    <pivotField axis="axisRow"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0"/>
  </rowFields>
  <rowItems count="9">
    <i>
      <x v="1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t="grand">
      <x/>
    </i>
  </rowItems>
  <colItems count="1">
    <i/>
  </colItems>
  <dataFields count="1">
    <dataField name="Sum of Mahesh" fld="2" baseField="0" baseItem="0"/>
  </dataFields>
  <pivotTableStyleInfo name="PivotStyleLight16" showRowHeaders="1" showColHeaders="1" showRowStripes="0" showColStripes="0" showLastColumn="1"/>
  <filters count="1">
    <filter fld="0" type="dateBetween" evalOrder="-1" id="57" name="Sales Date">
      <autoFilter ref="A1">
        <filterColumn colId="0">
          <customFilters and="1">
            <customFilter operator="greaterThanOrEqual" val="45717"/>
            <customFilter operator="lessThanOrEqual" val="458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DA984-04DC-4D04-8160-1E60D125E35B}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/>
  <pivotFields count="8">
    <pivotField showAll="0"/>
    <pivotField axis="axisRow" showAll="0">
      <items count="37">
        <item x="33"/>
        <item x="34"/>
        <item x="35"/>
        <item x="28"/>
        <item x="8"/>
        <item x="30"/>
        <item x="7"/>
        <item x="17"/>
        <item x="27"/>
        <item x="3"/>
        <item x="14"/>
        <item x="32"/>
        <item x="11"/>
        <item x="31"/>
        <item x="1"/>
        <item x="6"/>
        <item x="26"/>
        <item x="18"/>
        <item x="13"/>
        <item x="25"/>
        <item x="16"/>
        <item x="10"/>
        <item x="4"/>
        <item x="23"/>
        <item x="0"/>
        <item x="15"/>
        <item x="29"/>
        <item x="9"/>
        <item x="20"/>
        <item x="19"/>
        <item x="22"/>
        <item x="21"/>
        <item x="24"/>
        <item x="5"/>
        <item x="12"/>
        <item x="2"/>
        <item t="default"/>
      </items>
    </pivotField>
    <pivotField showAll="0"/>
    <pivotField numFmtId="43" showAll="0"/>
    <pivotField showAll="0"/>
    <pivotField axis="axisRow" showAll="0">
      <items count="5">
        <item x="3"/>
        <item sd="0" x="2"/>
        <item sd="0" x="0"/>
        <item sd="0" x="1"/>
        <item t="default" sd="0"/>
      </items>
    </pivotField>
    <pivotField showAll="0"/>
    <pivotField dataField="1" numFmtId="43" showAll="0"/>
  </pivotFields>
  <rowFields count="2">
    <field x="5"/>
    <field x="1"/>
  </rowFields>
  <rowItems count="11">
    <i>
      <x/>
    </i>
    <i r="1">
      <x v="1"/>
    </i>
    <i r="1">
      <x v="12"/>
    </i>
    <i r="1">
      <x v="13"/>
    </i>
    <i r="1">
      <x v="20"/>
    </i>
    <i r="1">
      <x v="26"/>
    </i>
    <i r="1">
      <x v="33"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EAAC7-CE86-43C1-AF2F-36F1E4387C13}" name="MyAnaLysis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" fld="7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423D00-4860-4585-858C-4C8169693BE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5EF989C-93B9-4F0B-A697-909F16B5C835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Maths" tableColumnId="2"/>
      <queryTableField id="3" name="Physics" tableColumnId="3"/>
      <queryTableField id="4" name="Chemestry" tableColumnId="4"/>
      <queryTableField id="5" name="Total" tableColumnId="5"/>
      <queryTableField id="6" name="Total1" tableColumnId="6"/>
      <queryTableField id="7" name="Total4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BA6337-DE79-49E5-A9AA-085879289C2D}" autoFormatId="16" applyNumberFormats="0" applyBorderFormats="0" applyFontFormats="0" applyPatternFormats="0" applyAlignmentFormats="0" applyWidthHeightFormats="0">
  <queryTableRefresh nextId="4">
    <queryTableFields count="3">
      <queryTableField id="1" name="Timestamp" tableColumnId="1"/>
      <queryTableField id="2" name="Score" tableColumnId="2"/>
      <queryTableField id="3" name="Email Addres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9D52CC-BA14-4E54-BE94-5D5D9A47A351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Salary" tableColumnId="2"/>
      <queryTableField id="3" name="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14498E-0D55-4062-8A41-EA884DDEB477}" name="Table5_2" displayName="Table5_2" ref="A1:E6" tableType="queryTable" totalsRowShown="0">
  <autoFilter ref="A1:E6" xr:uid="{1E95636A-ECC8-4082-885F-7BC2EF0D23EA}"/>
  <tableColumns count="5">
    <tableColumn id="1" xr3:uid="{81DAF02A-80F5-4CAA-9B7D-808D20EC4BE0}" uniqueName="1" name="Column1" queryTableFieldId="1"/>
    <tableColumn id="2" xr3:uid="{72BD9AE9-83CE-4F5B-BE96-18AE889B2061}" uniqueName="2" name="Column2" queryTableFieldId="2"/>
    <tableColumn id="3" xr3:uid="{C63277AC-5BD2-419D-856E-E6C7D7BB337D}" uniqueName="3" name="Column3" queryTableFieldId="3"/>
    <tableColumn id="4" xr3:uid="{30998212-008A-46B2-8821-D54FAD9EA6B6}" uniqueName="4" name="Column4" queryTableFieldId="4"/>
    <tableColumn id="5" xr3:uid="{4C121BDE-0754-4FA4-B2FC-90CF643C9314}" uniqueName="5" name="Column5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9E6E52-F7F5-4357-BF53-1829182F1FAD}" name="Table7_2" displayName="Table7_2" ref="A1:G5" tableType="queryTable" totalsRowShown="0">
  <autoFilter ref="A1:G5" xr:uid="{A00296D3-5CA5-4E5F-AED3-7D4DE35DD9AD}"/>
  <sortState ref="A2:G5">
    <sortCondition descending="1" ref="C2"/>
  </sortState>
  <tableColumns count="7">
    <tableColumn id="1" xr3:uid="{90E1B9DE-413E-42D7-B9C0-1C02AFF63F98}" uniqueName="1" name="Name" queryTableFieldId="1"/>
    <tableColumn id="2" xr3:uid="{4654857C-08BF-420A-94AD-34F1EDD79FA8}" uniqueName="2" name="Maths" queryTableFieldId="2"/>
    <tableColumn id="3" xr3:uid="{253F063F-64E3-4827-B1D5-48C5E2716CCF}" uniqueName="3" name="Physics" queryTableFieldId="3"/>
    <tableColumn id="4" xr3:uid="{B840EC17-D70D-4A6E-B987-D2D9DF1BBBB6}" uniqueName="4" name="Chemestry" queryTableFieldId="4"/>
    <tableColumn id="5" xr3:uid="{B520FB67-C108-408C-92C2-8EF3B901F888}" uniqueName="5" name="Total" queryTableFieldId="5"/>
    <tableColumn id="6" xr3:uid="{39B30E52-AC02-4034-BC88-7C7DF34936FA}" uniqueName="6" name="Total1" queryTableFieldId="6"/>
    <tableColumn id="7" xr3:uid="{CA8E1A56-03E4-4A09-B6FE-F6C35BBF52B0}" uniqueName="7" name="Total4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04AC89-D771-4BE9-AB8C-AA547D700EE6}" name="Table7" displayName="Table7" ref="A1:G5" totalsRowShown="0" headerRowDxfId="2" tableBorderDxfId="1">
  <autoFilter ref="A1:G5" xr:uid="{64A9E2C4-13D5-4D00-ADA7-9C740BF11800}"/>
  <tableColumns count="7">
    <tableColumn id="1" xr3:uid="{C723A7DE-919C-40A3-9194-8EF8A403735D}" name="Name"/>
    <tableColumn id="2" xr3:uid="{F693D5DF-377A-433F-BB5A-7A61EC6697AF}" name="Maths"/>
    <tableColumn id="3" xr3:uid="{E18C142B-9251-4F88-92B8-1DD600C0C1E3}" name="Physics"/>
    <tableColumn id="4" xr3:uid="{C29570FD-04A8-453E-95C5-DA9EB15DAE93}" name="Chemestry"/>
    <tableColumn id="5" xr3:uid="{D4387A6F-52F7-402C-903B-192F969A2CA3}" name="Total">
      <calculatedColumnFormula>SUM(B2:D2)</calculatedColumnFormula>
    </tableColumn>
    <tableColumn id="6" xr3:uid="{2383EA04-C75B-4EA1-BA46-59D333C4DD4C}" name="Total1">
      <calculatedColumnFormula>SUM(B2:D2)</calculatedColumnFormula>
    </tableColumn>
    <tableColumn id="7" xr3:uid="{08DA98A6-40D8-4C5F-AF2A-8539B7A08297}" name="Total4">
      <calculatedColumnFormula>SUM(B2:D2)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CE3D4-7D49-48CE-AE63-E38446F957F4}" name="Table1" displayName="Table1" ref="A1:H13" totalsRowShown="0">
  <autoFilter ref="A1:H13" xr:uid="{EFD39101-1455-4C09-8116-F071A2366453}"/>
  <tableColumns count="8">
    <tableColumn id="1" xr3:uid="{2C52F27A-316D-4096-A5F4-EB02AFD43173}" name="Emp-ID"/>
    <tableColumn id="2" xr3:uid="{2A1E6AC5-1B37-432F-A690-4171FCE92468}" name="Staff"/>
    <tableColumn id="3" xr3:uid="{1DADF402-E062-4D2B-9790-FE8FD831A017}" name="Designation"/>
    <tableColumn id="4" xr3:uid="{3A5645E6-A0C0-45D7-81D4-70F21A55E012}" name="Basic Pay"/>
    <tableColumn id="5" xr3:uid="{F8A44F8A-E87A-48CE-B8B2-C9A9D7C71E55}" name="Age"/>
    <tableColumn id="6" xr3:uid="{D8D468E9-02C4-423D-928D-8822C643C237}" name="Working State"/>
    <tableColumn id="7" xr3:uid="{F108BFAD-4FC0-41FB-BE82-70364AF01392}" name="Working Department"/>
    <tableColumn id="8" xr3:uid="{FC722766-F738-41B4-90B4-349A256C21F3}" name="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CD6D1-3073-4002-803F-E8A456E04434}" name="Table2" displayName="Table2" ref="A1:H5" totalsRowShown="0">
  <autoFilter ref="A1:H5" xr:uid="{A1508CC6-9C04-4EDB-AAB7-70C98C725299}"/>
  <tableColumns count="8">
    <tableColumn id="1" xr3:uid="{BCB3AEC2-E2FF-4A99-B6F9-AA8AE91E8E0A}" name="Emp-ID"/>
    <tableColumn id="2" xr3:uid="{A3FC7961-7BB0-46D7-A1D5-31A7C6F93C24}" name="Staff"/>
    <tableColumn id="3" xr3:uid="{4057EF2B-8714-4BFB-9ADE-3DC44E245170}" name="Designation"/>
    <tableColumn id="4" xr3:uid="{362E9319-A9E1-4242-9B53-4B94CE3C04E2}" name="Basic Pay"/>
    <tableColumn id="5" xr3:uid="{BDC2C290-ECF8-490B-A7A0-98E413C27CD1}" name="Age"/>
    <tableColumn id="6" xr3:uid="{BF8CEDFD-9CA2-4DD9-A03B-9EB1BF5E5BCF}" name="Working State"/>
    <tableColumn id="7" xr3:uid="{1BA86EA3-4B95-4930-A644-CFD48ECA1CD8}" name="Working Department"/>
    <tableColumn id="8" xr3:uid="{D6ED7C70-4A85-448E-8DCA-785D0EA1E097}" name="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DD4CB9-5424-4788-83E4-BF4383293686}" name="Sheet1" displayName="Sheet1" ref="A1:C45" tableType="queryTable" totalsRowShown="0">
  <autoFilter ref="A1:C45" xr:uid="{A1DE2A68-D141-477A-8AB7-6DC52A7D934F}"/>
  <tableColumns count="3">
    <tableColumn id="1" xr3:uid="{82F445A0-5EC1-4B4C-AEEE-15C03AAC40D4}" uniqueName="1" name="Timestamp" queryTableFieldId="1" dataDxfId="0"/>
    <tableColumn id="2" xr3:uid="{3BAC6D09-B010-4C03-9A3F-62B3E3044FC0}" uniqueName="2" name="Score" queryTableFieldId="2"/>
    <tableColumn id="3" xr3:uid="{643A4DA7-1935-4E2B-90FD-DA421782BA30}" uniqueName="3" name="Email Addres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E1FE2-EDD7-43E5-85C2-DB2B9122BFFA}" name="New_Text_Document" displayName="New_Text_Document" ref="A1:C3" tableType="queryTable" totalsRowShown="0">
  <autoFilter ref="A1:C3" xr:uid="{93544506-2E4D-4689-A8AC-FF71E30C7CB4}"/>
  <tableColumns count="3">
    <tableColumn id="1" xr3:uid="{2E1D63F0-64A6-483E-AB80-5800DFEA9146}" uniqueName="1" name="Name" queryTableFieldId="1"/>
    <tableColumn id="2" xr3:uid="{9BD57D37-8E99-4A21-B3C8-FFB27084F96D}" uniqueName="2" name="Salary" queryTableFieldId="2"/>
    <tableColumn id="3" xr3:uid="{AC6EBFF5-BD08-4B4B-AF72-1D6861F0BA6D}" uniqueName="3" name="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175" zoomScaleNormal="175" workbookViewId="0">
      <selection activeCell="B7" sqref="B7"/>
    </sheetView>
  </sheetViews>
  <sheetFormatPr defaultRowHeight="14.4" x14ac:dyDescent="0.3"/>
  <cols>
    <col min="4" max="4" width="10.88671875" customWidth="1"/>
    <col min="5" max="5" width="10.44140625" customWidth="1"/>
    <col min="7" max="8" width="11.109375" customWidth="1"/>
  </cols>
  <sheetData>
    <row r="1" spans="1:7" ht="19.8" customHeight="1" x14ac:dyDescent="0.3">
      <c r="A1" t="s">
        <v>0</v>
      </c>
      <c r="B1" t="s">
        <v>5</v>
      </c>
      <c r="C1" t="s">
        <v>6</v>
      </c>
      <c r="D1" t="s">
        <v>7</v>
      </c>
      <c r="E1" s="1" t="s">
        <v>8</v>
      </c>
      <c r="F1" s="1"/>
      <c r="G1" s="2"/>
    </row>
    <row r="2" spans="1:7" x14ac:dyDescent="0.3">
      <c r="A2" t="s">
        <v>1</v>
      </c>
      <c r="B2">
        <v>34</v>
      </c>
      <c r="C2">
        <v>56</v>
      </c>
      <c r="D2">
        <v>89</v>
      </c>
      <c r="E2">
        <f>SUM(B2:D2)</f>
        <v>179</v>
      </c>
    </row>
    <row r="3" spans="1:7" x14ac:dyDescent="0.3">
      <c r="A3" t="s">
        <v>2</v>
      </c>
      <c r="B3">
        <v>93</v>
      </c>
      <c r="C3">
        <v>59</v>
      </c>
      <c r="D3">
        <v>22</v>
      </c>
      <c r="E3">
        <f t="shared" ref="E3:E5" si="0">SUM(B3:D3)</f>
        <v>174</v>
      </c>
      <c r="F3" s="4"/>
      <c r="G3" s="5"/>
    </row>
    <row r="4" spans="1:7" x14ac:dyDescent="0.3">
      <c r="A4" t="s">
        <v>3</v>
      </c>
      <c r="B4">
        <v>90</v>
      </c>
      <c r="C4">
        <v>76</v>
      </c>
      <c r="D4">
        <v>66</v>
      </c>
      <c r="E4">
        <f t="shared" si="0"/>
        <v>232</v>
      </c>
      <c r="F4" s="4"/>
      <c r="G4" s="5"/>
    </row>
    <row r="5" spans="1:7" x14ac:dyDescent="0.3">
      <c r="A5" t="s">
        <v>4</v>
      </c>
      <c r="B5">
        <v>76</v>
      </c>
      <c r="C5">
        <v>43</v>
      </c>
      <c r="D5" s="8">
        <v>44</v>
      </c>
      <c r="E5">
        <f t="shared" si="0"/>
        <v>163</v>
      </c>
      <c r="F5" s="4"/>
      <c r="G5" s="5"/>
    </row>
    <row r="6" spans="1:7" x14ac:dyDescent="0.3">
      <c r="E6" s="6"/>
      <c r="F6" s="4"/>
    </row>
    <row r="7" spans="1:7" x14ac:dyDescent="0.3">
      <c r="F7" s="4"/>
    </row>
    <row r="8" spans="1:7" x14ac:dyDescent="0.3">
      <c r="E8" s="6"/>
      <c r="F8" s="3"/>
    </row>
    <row r="9" spans="1:7" x14ac:dyDescent="0.3">
      <c r="F9" s="4"/>
    </row>
    <row r="10" spans="1:7" x14ac:dyDescent="0.3">
      <c r="D10" s="6"/>
    </row>
    <row r="11" spans="1:7" x14ac:dyDescent="0.3">
      <c r="E11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AE6D-B159-49F8-B2A4-12AF253FE0E1}">
  <dimension ref="A1:E6"/>
  <sheetViews>
    <sheetView workbookViewId="0">
      <selection activeCell="G8" sqref="G8"/>
    </sheetView>
  </sheetViews>
  <sheetFormatPr defaultRowHeight="14.4" x14ac:dyDescent="0.3"/>
  <cols>
    <col min="1" max="5" width="10.77734375" bestFit="1" customWidth="1"/>
  </cols>
  <sheetData>
    <row r="1" spans="1:5" x14ac:dyDescent="0.3">
      <c r="A1" t="s">
        <v>131</v>
      </c>
      <c r="B1" t="s">
        <v>132</v>
      </c>
      <c r="C1" t="s">
        <v>133</v>
      </c>
      <c r="D1" t="s">
        <v>134</v>
      </c>
      <c r="E1" t="s">
        <v>135</v>
      </c>
    </row>
    <row r="2" spans="1:5" x14ac:dyDescent="0.3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1</v>
      </c>
      <c r="B3">
        <v>34</v>
      </c>
      <c r="C3">
        <v>89</v>
      </c>
      <c r="D3">
        <v>45</v>
      </c>
      <c r="E3">
        <v>168</v>
      </c>
    </row>
    <row r="4" spans="1:5" x14ac:dyDescent="0.3">
      <c r="A4" t="s">
        <v>2</v>
      </c>
      <c r="B4">
        <v>93</v>
      </c>
      <c r="C4">
        <v>59</v>
      </c>
      <c r="D4">
        <v>23</v>
      </c>
      <c r="E4">
        <v>175</v>
      </c>
    </row>
    <row r="5" spans="1:5" x14ac:dyDescent="0.3">
      <c r="A5" t="s">
        <v>3</v>
      </c>
      <c r="B5">
        <v>90</v>
      </c>
      <c r="C5">
        <v>76</v>
      </c>
      <c r="D5">
        <v>56</v>
      </c>
      <c r="E5">
        <v>222</v>
      </c>
    </row>
    <row r="6" spans="1:5" x14ac:dyDescent="0.3">
      <c r="A6" t="s">
        <v>4</v>
      </c>
      <c r="B6">
        <v>76</v>
      </c>
      <c r="C6">
        <v>43</v>
      </c>
      <c r="D6">
        <v>78</v>
      </c>
      <c r="E6">
        <v>197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0F53-86BB-4B32-8D4C-9E98B703FDB6}">
  <dimension ref="A1:G5"/>
  <sheetViews>
    <sheetView zoomScale="160" zoomScaleNormal="160" workbookViewId="0">
      <selection activeCell="C9" sqref="C9"/>
    </sheetView>
  </sheetViews>
  <sheetFormatPr defaultRowHeight="14.4" x14ac:dyDescent="0.3"/>
  <cols>
    <col min="1" max="1" width="8.44140625" bestFit="1" customWidth="1"/>
    <col min="2" max="2" width="8.5546875" bestFit="1" customWidth="1"/>
    <col min="3" max="3" width="9.33203125" bestFit="1" customWidth="1"/>
    <col min="4" max="4" width="12.21875" bestFit="1" customWidth="1"/>
    <col min="5" max="5" width="7.44140625" bestFit="1" customWidth="1"/>
    <col min="6" max="7" width="8.44140625" bestFit="1" customWidth="1"/>
  </cols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11</v>
      </c>
    </row>
    <row r="2" spans="1:7" x14ac:dyDescent="0.3">
      <c r="A2" t="s">
        <v>1</v>
      </c>
      <c r="B2">
        <v>34</v>
      </c>
      <c r="C2">
        <v>89</v>
      </c>
      <c r="D2">
        <v>45</v>
      </c>
      <c r="E2">
        <v>168</v>
      </c>
      <c r="F2">
        <v>168</v>
      </c>
      <c r="G2">
        <v>168</v>
      </c>
    </row>
    <row r="3" spans="1:7" x14ac:dyDescent="0.3">
      <c r="A3" t="s">
        <v>3</v>
      </c>
      <c r="B3">
        <v>90</v>
      </c>
      <c r="C3">
        <v>76</v>
      </c>
      <c r="D3">
        <v>56</v>
      </c>
      <c r="E3">
        <v>222</v>
      </c>
      <c r="F3">
        <v>222</v>
      </c>
      <c r="G3">
        <v>222</v>
      </c>
    </row>
    <row r="4" spans="1:7" x14ac:dyDescent="0.3">
      <c r="A4" t="s">
        <v>2</v>
      </c>
      <c r="B4">
        <v>93</v>
      </c>
      <c r="C4">
        <v>59</v>
      </c>
      <c r="D4">
        <v>23</v>
      </c>
      <c r="E4">
        <v>175</v>
      </c>
      <c r="F4">
        <v>175</v>
      </c>
      <c r="G4">
        <v>175</v>
      </c>
    </row>
    <row r="5" spans="1:7" x14ac:dyDescent="0.3">
      <c r="A5" t="s">
        <v>4</v>
      </c>
      <c r="B5">
        <v>76</v>
      </c>
      <c r="C5">
        <v>43</v>
      </c>
      <c r="D5">
        <v>78</v>
      </c>
      <c r="E5">
        <v>197</v>
      </c>
      <c r="F5">
        <v>197</v>
      </c>
      <c r="G5">
        <v>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E389-05A4-471E-AFCA-BF0D8581553F}">
  <dimension ref="A1:H77"/>
  <sheetViews>
    <sheetView zoomScale="175" zoomScaleNormal="175" workbookViewId="0">
      <selection sqref="A1:G5"/>
    </sheetView>
  </sheetViews>
  <sheetFormatPr defaultRowHeight="14.4" x14ac:dyDescent="0.3"/>
  <cols>
    <col min="1" max="3" width="9.109375" customWidth="1"/>
    <col min="4" max="4" width="10.6640625" customWidth="1"/>
    <col min="5" max="7" width="9.109375" customWidth="1"/>
  </cols>
  <sheetData>
    <row r="1" spans="1:8" x14ac:dyDescent="0.3">
      <c r="A1" s="29" t="s">
        <v>0</v>
      </c>
      <c r="B1" s="29" t="s">
        <v>5</v>
      </c>
      <c r="C1" s="29" t="s">
        <v>6</v>
      </c>
      <c r="D1" s="29" t="s">
        <v>7</v>
      </c>
      <c r="E1" s="29" t="s">
        <v>8</v>
      </c>
      <c r="F1" s="29" t="s">
        <v>9</v>
      </c>
      <c r="G1" s="29" t="s">
        <v>11</v>
      </c>
    </row>
    <row r="2" spans="1:8" x14ac:dyDescent="0.3">
      <c r="A2" s="27" t="s">
        <v>2</v>
      </c>
      <c r="B2" s="27">
        <v>93</v>
      </c>
      <c r="C2" s="27">
        <v>59</v>
      </c>
      <c r="D2" s="27">
        <v>23</v>
      </c>
      <c r="E2" s="27">
        <f>SUM(B2:D2)</f>
        <v>175</v>
      </c>
      <c r="F2" s="27">
        <f>SUM(B2:D2)</f>
        <v>175</v>
      </c>
      <c r="G2" s="27">
        <f>SUM(B2:D2)</f>
        <v>175</v>
      </c>
    </row>
    <row r="3" spans="1:8" x14ac:dyDescent="0.3">
      <c r="A3" s="26" t="s">
        <v>4</v>
      </c>
      <c r="B3" s="26">
        <v>76</v>
      </c>
      <c r="C3" s="26">
        <v>43</v>
      </c>
      <c r="D3" s="28">
        <v>78</v>
      </c>
      <c r="E3" s="26">
        <f>SUM(B3:D3)</f>
        <v>197</v>
      </c>
      <c r="F3" s="26">
        <f>SUM(B3:D3)</f>
        <v>197</v>
      </c>
      <c r="G3" s="26">
        <f>SUM(B3:D3)</f>
        <v>197</v>
      </c>
    </row>
    <row r="4" spans="1:8" x14ac:dyDescent="0.3">
      <c r="A4" s="27" t="s">
        <v>3</v>
      </c>
      <c r="B4" s="27">
        <v>90</v>
      </c>
      <c r="C4" s="27">
        <v>76</v>
      </c>
      <c r="D4" s="27">
        <v>56</v>
      </c>
      <c r="E4" s="27">
        <f>SUM(B4:D4)</f>
        <v>222</v>
      </c>
      <c r="F4" s="27">
        <f>SUM(B4:D4)</f>
        <v>222</v>
      </c>
      <c r="G4" s="27">
        <f>SUM(B4:D4)</f>
        <v>222</v>
      </c>
    </row>
    <row r="5" spans="1:8" x14ac:dyDescent="0.3">
      <c r="A5" s="26" t="s">
        <v>1</v>
      </c>
      <c r="B5" s="26">
        <v>34</v>
      </c>
      <c r="C5" s="26">
        <v>89</v>
      </c>
      <c r="D5" s="26">
        <v>45</v>
      </c>
      <c r="E5" s="26">
        <f>SUM(B5:D5)</f>
        <v>168</v>
      </c>
      <c r="F5" s="26">
        <f>SUM(B5:D5)</f>
        <v>168</v>
      </c>
      <c r="G5" s="26">
        <f>SUM(B5:D5)</f>
        <v>168</v>
      </c>
    </row>
    <row r="6" spans="1:8" x14ac:dyDescent="0.3">
      <c r="G6">
        <v>8</v>
      </c>
    </row>
    <row r="8" spans="1:8" x14ac:dyDescent="0.3">
      <c r="E8">
        <v>6</v>
      </c>
    </row>
    <row r="10" spans="1:8" x14ac:dyDescent="0.3">
      <c r="D10" s="9"/>
      <c r="E10">
        <v>3</v>
      </c>
    </row>
    <row r="11" spans="1:8" x14ac:dyDescent="0.3">
      <c r="H11">
        <f>G6+E8+E10+E12</f>
        <v>22</v>
      </c>
    </row>
    <row r="12" spans="1:8" x14ac:dyDescent="0.3">
      <c r="E12">
        <v>5</v>
      </c>
    </row>
    <row r="16" spans="1:8" x14ac:dyDescent="0.3">
      <c r="G16">
        <f>E10+E12</f>
        <v>8</v>
      </c>
    </row>
    <row r="77" spans="7:7" x14ac:dyDescent="0.3">
      <c r="G77">
        <f>SUM(Chemestry)</f>
        <v>202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6F88-033D-4015-B4FC-FCC567B6E9DB}">
  <dimension ref="A1:G50"/>
  <sheetViews>
    <sheetView topLeftCell="A7" zoomScale="205" zoomScaleNormal="205" workbookViewId="0">
      <selection activeCell="F15" sqref="F15"/>
    </sheetView>
  </sheetViews>
  <sheetFormatPr defaultRowHeight="14.4" x14ac:dyDescent="0.3"/>
  <cols>
    <col min="4" max="4" width="9.6640625" bestFit="1" customWidth="1"/>
    <col min="6" max="6" width="10.88671875" bestFit="1" customWidth="1"/>
    <col min="7" max="7" width="13.5546875" bestFit="1" customWidth="1"/>
  </cols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10</v>
      </c>
      <c r="G1" t="s">
        <v>12</v>
      </c>
    </row>
    <row r="2" spans="1:7" x14ac:dyDescent="0.3">
      <c r="A2" t="s">
        <v>1</v>
      </c>
      <c r="B2">
        <v>34</v>
      </c>
      <c r="C2">
        <v>56</v>
      </c>
      <c r="D2">
        <v>78</v>
      </c>
      <c r="E2">
        <f>SUM(B2:D2)</f>
        <v>168</v>
      </c>
      <c r="F2" t="str">
        <f>IF(E2&gt;150,"Pass","Fail")</f>
        <v>Pass</v>
      </c>
    </row>
    <row r="3" spans="1:7" x14ac:dyDescent="0.3">
      <c r="A3" t="s">
        <v>2</v>
      </c>
      <c r="B3">
        <v>93</v>
      </c>
      <c r="C3">
        <v>59</v>
      </c>
      <c r="D3">
        <v>22</v>
      </c>
      <c r="E3">
        <f t="shared" ref="E3:E5" si="0">SUM(B3:D3)</f>
        <v>174</v>
      </c>
      <c r="F3" t="str">
        <f t="shared" ref="F3:F5" si="1">IF(E3&gt;150,"Pass","Fail")</f>
        <v>Pass</v>
      </c>
    </row>
    <row r="4" spans="1:7" x14ac:dyDescent="0.3">
      <c r="A4" t="s">
        <v>3</v>
      </c>
      <c r="B4">
        <v>90</v>
      </c>
      <c r="C4">
        <v>76</v>
      </c>
      <c r="D4">
        <v>89</v>
      </c>
      <c r="E4">
        <f t="shared" si="0"/>
        <v>255</v>
      </c>
      <c r="F4" t="str">
        <f t="shared" si="1"/>
        <v>Pass</v>
      </c>
    </row>
    <row r="5" spans="1:7" x14ac:dyDescent="0.3">
      <c r="A5" t="s">
        <v>4</v>
      </c>
      <c r="B5">
        <v>76</v>
      </c>
      <c r="C5">
        <v>43</v>
      </c>
      <c r="D5" s="8">
        <v>90</v>
      </c>
      <c r="E5">
        <f t="shared" si="0"/>
        <v>209</v>
      </c>
      <c r="F5" t="str">
        <f t="shared" si="1"/>
        <v>Pass</v>
      </c>
    </row>
    <row r="7" spans="1:7" x14ac:dyDescent="0.3">
      <c r="A7" t="s">
        <v>3</v>
      </c>
    </row>
    <row r="8" spans="1:7" x14ac:dyDescent="0.3">
      <c r="A8" t="s">
        <v>13</v>
      </c>
    </row>
    <row r="9" spans="1:7" x14ac:dyDescent="0.3">
      <c r="A9" t="s">
        <v>3</v>
      </c>
    </row>
    <row r="10" spans="1:7" x14ac:dyDescent="0.3">
      <c r="A10" t="s">
        <v>3</v>
      </c>
    </row>
    <row r="11" spans="1:7" x14ac:dyDescent="0.3">
      <c r="A11" t="s">
        <v>4</v>
      </c>
    </row>
    <row r="12" spans="1:7" x14ac:dyDescent="0.3">
      <c r="A12" t="s">
        <v>4</v>
      </c>
    </row>
    <row r="50" spans="4:4" x14ac:dyDescent="0.3">
      <c r="D50">
        <f>SUM(D2:D5)</f>
        <v>279</v>
      </c>
    </row>
  </sheetData>
  <dataValidations count="4">
    <dataValidation type="textLength" operator="equal" allowBlank="1" showInputMessage="1" showErrorMessage="1" sqref="G7:G10" xr:uid="{79D748DB-3542-4BE2-8BD2-382EC68C4B8A}">
      <formula1>10</formula1>
    </dataValidation>
    <dataValidation type="textLength" operator="equal" allowBlank="1" showInputMessage="1" showErrorMessage="1" errorTitle="Nalayak Student" error="Error hai value m sahi se data fille karo" promptTitle="Emter Value" prompt="Value should be equal to 10 digit" sqref="G2:G6" xr:uid="{0A3733A2-B103-4431-B97D-A54709E88273}">
      <formula1>10</formula1>
    </dataValidation>
    <dataValidation type="list" allowBlank="1" showInputMessage="1" showErrorMessage="1" sqref="A13" xr:uid="{107C8066-E144-4830-B486-9690539DBF5A}">
      <formula1>$A$2:$A$5</formula1>
    </dataValidation>
    <dataValidation type="list" errorStyle="warning" allowBlank="1" showInputMessage="1" showErrorMessage="1" errorTitle="Warning" error="Not Recomemmeded" sqref="A7:A12" xr:uid="{26FC925F-4F7C-4399-B99D-57008A21EFFA}">
      <formula1>$A$2:$A$5</formula1>
    </dataValidation>
  </dataValidations>
  <pageMargins left="0.7" right="0.7" top="0.75" bottom="0.75" header="0.3" footer="0.3"/>
  <cellWatches>
    <cellWatch r="D50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B580-0A42-41E4-9B5D-A14681A07D1F}">
  <dimension ref="A3:B12"/>
  <sheetViews>
    <sheetView zoomScale="85" zoomScaleNormal="85" workbookViewId="0">
      <selection activeCell="K9" sqref="K9"/>
    </sheetView>
  </sheetViews>
  <sheetFormatPr defaultRowHeight="14.4" x14ac:dyDescent="0.3"/>
  <cols>
    <col min="1" max="1" width="13.44140625" bestFit="1" customWidth="1"/>
    <col min="2" max="2" width="14.88671875" bestFit="1" customWidth="1"/>
    <col min="3" max="5" width="12" bestFit="1" customWidth="1"/>
  </cols>
  <sheetData>
    <row r="3" spans="1:2" x14ac:dyDescent="0.3">
      <c r="A3" s="21" t="s">
        <v>67</v>
      </c>
      <c r="B3" t="s">
        <v>71</v>
      </c>
    </row>
    <row r="4" spans="1:2" x14ac:dyDescent="0.3">
      <c r="A4" s="22" t="s">
        <v>77</v>
      </c>
      <c r="B4" s="8">
        <v>132476</v>
      </c>
    </row>
    <row r="5" spans="1:2" x14ac:dyDescent="0.3">
      <c r="A5" s="24" t="s">
        <v>72</v>
      </c>
      <c r="B5" s="8">
        <v>132476</v>
      </c>
    </row>
    <row r="6" spans="1:2" x14ac:dyDescent="0.3">
      <c r="A6" s="22" t="s">
        <v>78</v>
      </c>
      <c r="B6" s="8">
        <v>486569.52504578751</v>
      </c>
    </row>
    <row r="7" spans="1:2" x14ac:dyDescent="0.3">
      <c r="A7" s="24" t="s">
        <v>73</v>
      </c>
      <c r="B7" s="8">
        <v>149900.51758241761</v>
      </c>
    </row>
    <row r="8" spans="1:2" x14ac:dyDescent="0.3">
      <c r="A8" s="24" t="s">
        <v>74</v>
      </c>
      <c r="B8" s="8">
        <v>174902.78493589739</v>
      </c>
    </row>
    <row r="9" spans="1:2" x14ac:dyDescent="0.3">
      <c r="A9" s="24" t="s">
        <v>75</v>
      </c>
      <c r="B9" s="8">
        <v>161766.22252747248</v>
      </c>
    </row>
    <row r="10" spans="1:2" x14ac:dyDescent="0.3">
      <c r="A10" s="22" t="s">
        <v>79</v>
      </c>
      <c r="B10" s="8">
        <v>159414.07495421232</v>
      </c>
    </row>
    <row r="11" spans="1:2" x14ac:dyDescent="0.3">
      <c r="A11" s="24" t="s">
        <v>76</v>
      </c>
      <c r="B11" s="8">
        <v>159414.07495421232</v>
      </c>
    </row>
    <row r="12" spans="1:2" x14ac:dyDescent="0.3">
      <c r="A12" s="22" t="s">
        <v>68</v>
      </c>
      <c r="B12" s="8">
        <v>778459.59999999974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7445-BBD5-47FA-94E3-8467E8777DC2}">
  <dimension ref="A1:L336"/>
  <sheetViews>
    <sheetView zoomScale="70" zoomScaleNormal="70" workbookViewId="0">
      <selection activeCell="J17" sqref="A1:L336"/>
    </sheetView>
  </sheetViews>
  <sheetFormatPr defaultRowHeight="14.4" x14ac:dyDescent="0.3"/>
  <cols>
    <col min="1" max="1" width="13.5546875" bestFit="1" customWidth="1"/>
    <col min="2" max="2" width="9.33203125" bestFit="1" customWidth="1"/>
    <col min="3" max="3" width="11.109375" bestFit="1" customWidth="1"/>
    <col min="4" max="4" width="9.44140625" bestFit="1" customWidth="1"/>
    <col min="5" max="5" width="8.21875" bestFit="1" customWidth="1"/>
    <col min="6" max="6" width="7.88671875" bestFit="1" customWidth="1"/>
    <col min="7" max="7" width="9.44140625" bestFit="1" customWidth="1"/>
    <col min="8" max="8" width="7.88671875" bestFit="1" customWidth="1"/>
    <col min="9" max="9" width="8.6640625" bestFit="1" customWidth="1"/>
    <col min="10" max="10" width="13.5546875" bestFit="1" customWidth="1"/>
    <col min="11" max="11" width="11.21875" bestFit="1" customWidth="1"/>
    <col min="12" max="12" width="14.109375" bestFit="1" customWidth="1"/>
  </cols>
  <sheetData>
    <row r="1" spans="1:12" ht="19.8" x14ac:dyDescent="0.3">
      <c r="A1" s="16" t="s">
        <v>65</v>
      </c>
      <c r="B1" s="16" t="s">
        <v>22</v>
      </c>
      <c r="C1" s="16" t="s">
        <v>26</v>
      </c>
      <c r="D1" s="16" t="s">
        <v>29</v>
      </c>
      <c r="E1" s="16" t="s">
        <v>31</v>
      </c>
      <c r="F1" s="16" t="s">
        <v>32</v>
      </c>
      <c r="G1" s="16" t="s">
        <v>29</v>
      </c>
      <c r="H1" s="16" t="s">
        <v>33</v>
      </c>
      <c r="I1" s="16" t="s">
        <v>35</v>
      </c>
      <c r="J1" s="16" t="s">
        <v>36</v>
      </c>
      <c r="K1" s="16" t="s">
        <v>37</v>
      </c>
      <c r="L1" s="17" t="s">
        <v>66</v>
      </c>
    </row>
    <row r="2" spans="1:12" ht="19.8" x14ac:dyDescent="0.3">
      <c r="A2" s="18">
        <v>45658</v>
      </c>
      <c r="B2" s="19">
        <v>6106</v>
      </c>
      <c r="C2" s="19">
        <v>7239</v>
      </c>
      <c r="D2" s="19">
        <v>6536</v>
      </c>
      <c r="E2" s="19">
        <v>6688</v>
      </c>
      <c r="F2" s="19">
        <v>5538</v>
      </c>
      <c r="G2" s="19">
        <v>7038</v>
      </c>
      <c r="H2" s="19">
        <v>7532</v>
      </c>
      <c r="I2" s="19">
        <v>7900</v>
      </c>
      <c r="J2" s="19">
        <v>4882</v>
      </c>
      <c r="K2" s="19">
        <v>7263</v>
      </c>
      <c r="L2" s="20">
        <f>SUM(B2:K2)</f>
        <v>66722</v>
      </c>
    </row>
    <row r="3" spans="1:12" ht="19.8" x14ac:dyDescent="0.3">
      <c r="A3" s="18">
        <v>45659</v>
      </c>
      <c r="B3" s="19">
        <v>7667</v>
      </c>
      <c r="C3" s="19">
        <v>5806</v>
      </c>
      <c r="D3" s="19">
        <v>4719</v>
      </c>
      <c r="E3" s="19">
        <v>6119</v>
      </c>
      <c r="F3" s="19">
        <v>6628</v>
      </c>
      <c r="G3" s="19">
        <v>4312</v>
      </c>
      <c r="H3" s="19">
        <v>4664</v>
      </c>
      <c r="I3" s="19">
        <v>7737</v>
      </c>
      <c r="J3" s="19">
        <v>4399</v>
      </c>
      <c r="K3" s="19">
        <v>5667</v>
      </c>
      <c r="L3" s="20">
        <f t="shared" ref="L3:L66" si="0">SUM(B3:K3)</f>
        <v>57718</v>
      </c>
    </row>
    <row r="4" spans="1:12" ht="19.8" x14ac:dyDescent="0.3">
      <c r="A4" s="18">
        <v>45660</v>
      </c>
      <c r="B4" s="19">
        <v>5213</v>
      </c>
      <c r="C4" s="19">
        <v>5572</v>
      </c>
      <c r="D4" s="19">
        <v>4938</v>
      </c>
      <c r="E4" s="19">
        <v>6784</v>
      </c>
      <c r="F4" s="19">
        <v>5547</v>
      </c>
      <c r="G4" s="19">
        <v>7941</v>
      </c>
      <c r="H4" s="19">
        <v>5162</v>
      </c>
      <c r="I4" s="19">
        <v>7966</v>
      </c>
      <c r="J4" s="19">
        <v>4767</v>
      </c>
      <c r="K4" s="19">
        <v>4712</v>
      </c>
      <c r="L4" s="20">
        <f t="shared" si="0"/>
        <v>58602</v>
      </c>
    </row>
    <row r="5" spans="1:12" ht="19.8" x14ac:dyDescent="0.3">
      <c r="A5" s="18">
        <v>45663</v>
      </c>
      <c r="B5" s="19">
        <v>6424</v>
      </c>
      <c r="C5" s="19">
        <v>4876</v>
      </c>
      <c r="D5" s="19">
        <v>6934</v>
      </c>
      <c r="E5" s="19">
        <v>5357</v>
      </c>
      <c r="F5" s="19">
        <v>5734</v>
      </c>
      <c r="G5" s="19">
        <v>6497</v>
      </c>
      <c r="H5" s="19">
        <v>4046</v>
      </c>
      <c r="I5" s="19">
        <v>6893</v>
      </c>
      <c r="J5" s="19">
        <v>6905</v>
      </c>
      <c r="K5" s="19">
        <v>5621</v>
      </c>
      <c r="L5" s="20">
        <f t="shared" si="0"/>
        <v>59287</v>
      </c>
    </row>
    <row r="6" spans="1:12" ht="19.8" x14ac:dyDescent="0.3">
      <c r="A6" s="18">
        <v>45664</v>
      </c>
      <c r="B6" s="19">
        <v>5995</v>
      </c>
      <c r="C6" s="19">
        <v>6052</v>
      </c>
      <c r="D6" s="19">
        <v>4667</v>
      </c>
      <c r="E6" s="19">
        <v>7638</v>
      </c>
      <c r="F6" s="19">
        <v>6708</v>
      </c>
      <c r="G6" s="19">
        <v>5503</v>
      </c>
      <c r="H6" s="19">
        <v>6570</v>
      </c>
      <c r="I6" s="19">
        <v>5360</v>
      </c>
      <c r="J6" s="19">
        <v>5950</v>
      </c>
      <c r="K6" s="19">
        <v>5788</v>
      </c>
      <c r="L6" s="20">
        <f t="shared" si="0"/>
        <v>60231</v>
      </c>
    </row>
    <row r="7" spans="1:12" ht="19.8" x14ac:dyDescent="0.3">
      <c r="A7" s="18">
        <v>45665</v>
      </c>
      <c r="B7" s="19">
        <v>5178</v>
      </c>
      <c r="C7" s="19">
        <v>6144</v>
      </c>
      <c r="D7" s="19">
        <v>4200</v>
      </c>
      <c r="E7" s="19">
        <v>4333</v>
      </c>
      <c r="F7" s="19">
        <v>4793</v>
      </c>
      <c r="G7" s="19">
        <v>4110</v>
      </c>
      <c r="H7" s="19">
        <v>4804</v>
      </c>
      <c r="I7" s="19">
        <v>4381</v>
      </c>
      <c r="J7" s="19">
        <v>4595</v>
      </c>
      <c r="K7" s="19">
        <v>7073</v>
      </c>
      <c r="L7" s="20">
        <f t="shared" si="0"/>
        <v>49611</v>
      </c>
    </row>
    <row r="8" spans="1:12" ht="19.8" x14ac:dyDescent="0.3">
      <c r="A8" s="18">
        <v>45666</v>
      </c>
      <c r="B8" s="19">
        <v>7971</v>
      </c>
      <c r="C8" s="19">
        <v>4409</v>
      </c>
      <c r="D8" s="19">
        <v>5162</v>
      </c>
      <c r="E8" s="19">
        <v>5802</v>
      </c>
      <c r="F8" s="19">
        <v>4246</v>
      </c>
      <c r="G8" s="19">
        <v>7432</v>
      </c>
      <c r="H8" s="19">
        <v>5556</v>
      </c>
      <c r="I8" s="19">
        <v>6514</v>
      </c>
      <c r="J8" s="19">
        <v>7180</v>
      </c>
      <c r="K8" s="19">
        <v>5873</v>
      </c>
      <c r="L8" s="20">
        <f t="shared" si="0"/>
        <v>60145</v>
      </c>
    </row>
    <row r="9" spans="1:12" ht="19.8" x14ac:dyDescent="0.3">
      <c r="A9" s="18">
        <v>45667</v>
      </c>
      <c r="B9" s="19">
        <v>7453</v>
      </c>
      <c r="C9" s="19">
        <v>4358</v>
      </c>
      <c r="D9" s="19">
        <v>4346</v>
      </c>
      <c r="E9" s="19">
        <v>4027</v>
      </c>
      <c r="F9" s="19">
        <v>4436</v>
      </c>
      <c r="G9" s="19">
        <v>4690</v>
      </c>
      <c r="H9" s="19">
        <v>4704</v>
      </c>
      <c r="I9" s="19">
        <v>7945</v>
      </c>
      <c r="J9" s="19">
        <v>4628</v>
      </c>
      <c r="K9" s="19">
        <v>5555</v>
      </c>
      <c r="L9" s="20">
        <f t="shared" si="0"/>
        <v>52142</v>
      </c>
    </row>
    <row r="10" spans="1:12" ht="19.8" x14ac:dyDescent="0.3">
      <c r="A10" s="18">
        <v>45670</v>
      </c>
      <c r="B10" s="19">
        <v>4272</v>
      </c>
      <c r="C10" s="19">
        <v>7983</v>
      </c>
      <c r="D10" s="19">
        <v>6034</v>
      </c>
      <c r="E10" s="19">
        <v>5586</v>
      </c>
      <c r="F10" s="19">
        <v>7912</v>
      </c>
      <c r="G10" s="19">
        <v>6008</v>
      </c>
      <c r="H10" s="19">
        <v>7435</v>
      </c>
      <c r="I10" s="19">
        <v>4077</v>
      </c>
      <c r="J10" s="19">
        <v>5687</v>
      </c>
      <c r="K10" s="19">
        <v>5978</v>
      </c>
      <c r="L10" s="20">
        <f t="shared" si="0"/>
        <v>60972</v>
      </c>
    </row>
    <row r="11" spans="1:12" ht="19.8" x14ac:dyDescent="0.3">
      <c r="A11" s="18">
        <v>45671</v>
      </c>
      <c r="B11" s="19">
        <v>5907</v>
      </c>
      <c r="C11" s="19">
        <v>7386</v>
      </c>
      <c r="D11" s="19">
        <v>6561</v>
      </c>
      <c r="E11" s="19">
        <v>7588</v>
      </c>
      <c r="F11" s="19">
        <v>7225</v>
      </c>
      <c r="G11" s="19">
        <v>7274</v>
      </c>
      <c r="H11" s="19">
        <v>5265</v>
      </c>
      <c r="I11" s="19">
        <v>7252</v>
      </c>
      <c r="J11" s="19">
        <v>7945</v>
      </c>
      <c r="K11" s="19">
        <v>6047</v>
      </c>
      <c r="L11" s="20">
        <f t="shared" si="0"/>
        <v>68450</v>
      </c>
    </row>
    <row r="12" spans="1:12" ht="19.8" x14ac:dyDescent="0.3">
      <c r="A12" s="18">
        <v>45672</v>
      </c>
      <c r="B12" s="19">
        <v>5156</v>
      </c>
      <c r="C12" s="19">
        <v>7792</v>
      </c>
      <c r="D12" s="19">
        <v>5734</v>
      </c>
      <c r="E12" s="19">
        <v>5544</v>
      </c>
      <c r="F12" s="19">
        <v>6254</v>
      </c>
      <c r="G12" s="19">
        <v>6300</v>
      </c>
      <c r="H12" s="19">
        <v>7186</v>
      </c>
      <c r="I12" s="19">
        <v>6027</v>
      </c>
      <c r="J12" s="19">
        <v>6420</v>
      </c>
      <c r="K12" s="19">
        <v>4193</v>
      </c>
      <c r="L12" s="20">
        <f t="shared" si="0"/>
        <v>60606</v>
      </c>
    </row>
    <row r="13" spans="1:12" ht="19.8" x14ac:dyDescent="0.3">
      <c r="A13" s="18">
        <v>45673</v>
      </c>
      <c r="B13" s="19">
        <v>6463</v>
      </c>
      <c r="C13" s="19">
        <v>5376</v>
      </c>
      <c r="D13" s="19">
        <v>4708</v>
      </c>
      <c r="E13" s="19">
        <v>7254</v>
      </c>
      <c r="F13" s="19">
        <v>5206</v>
      </c>
      <c r="G13" s="19">
        <v>4246</v>
      </c>
      <c r="H13" s="19">
        <v>4441</v>
      </c>
      <c r="I13" s="19">
        <v>7716</v>
      </c>
      <c r="J13" s="19">
        <v>5756</v>
      </c>
      <c r="K13" s="19">
        <v>4609</v>
      </c>
      <c r="L13" s="20">
        <f t="shared" si="0"/>
        <v>55775</v>
      </c>
    </row>
    <row r="14" spans="1:12" ht="19.8" x14ac:dyDescent="0.3">
      <c r="A14" s="18">
        <v>45674</v>
      </c>
      <c r="B14" s="19">
        <v>4957</v>
      </c>
      <c r="C14" s="19">
        <v>7835</v>
      </c>
      <c r="D14" s="19">
        <v>7317</v>
      </c>
      <c r="E14" s="19">
        <v>5165</v>
      </c>
      <c r="F14" s="19">
        <v>4252</v>
      </c>
      <c r="G14" s="19">
        <v>7251</v>
      </c>
      <c r="H14" s="19">
        <v>6128</v>
      </c>
      <c r="I14" s="19">
        <v>5301</v>
      </c>
      <c r="J14" s="19">
        <v>6417</v>
      </c>
      <c r="K14" s="19">
        <v>7127</v>
      </c>
      <c r="L14" s="20">
        <f t="shared" si="0"/>
        <v>61750</v>
      </c>
    </row>
    <row r="15" spans="1:12" ht="19.8" x14ac:dyDescent="0.3">
      <c r="A15" s="18">
        <v>45677</v>
      </c>
      <c r="B15" s="19">
        <v>7817</v>
      </c>
      <c r="C15" s="19">
        <v>6011</v>
      </c>
      <c r="D15" s="19">
        <v>6971</v>
      </c>
      <c r="E15" s="19">
        <v>6590</v>
      </c>
      <c r="F15" s="19">
        <v>7919</v>
      </c>
      <c r="G15" s="19">
        <v>6850</v>
      </c>
      <c r="H15" s="19">
        <v>6984</v>
      </c>
      <c r="I15" s="19">
        <v>7385</v>
      </c>
      <c r="J15" s="19">
        <v>5167</v>
      </c>
      <c r="K15" s="19">
        <v>7094</v>
      </c>
      <c r="L15" s="20">
        <f t="shared" si="0"/>
        <v>68788</v>
      </c>
    </row>
    <row r="16" spans="1:12" ht="19.8" x14ac:dyDescent="0.3">
      <c r="A16" s="18">
        <v>45678</v>
      </c>
      <c r="B16" s="19">
        <v>7924</v>
      </c>
      <c r="C16" s="19">
        <v>5302</v>
      </c>
      <c r="D16" s="19">
        <v>7018</v>
      </c>
      <c r="E16" s="19">
        <v>7915</v>
      </c>
      <c r="F16" s="19">
        <v>4744</v>
      </c>
      <c r="G16" s="19">
        <v>4727</v>
      </c>
      <c r="H16" s="19">
        <v>5282</v>
      </c>
      <c r="I16" s="19">
        <v>4403</v>
      </c>
      <c r="J16" s="19">
        <v>7363</v>
      </c>
      <c r="K16" s="19">
        <v>7443</v>
      </c>
      <c r="L16" s="20">
        <f t="shared" si="0"/>
        <v>62121</v>
      </c>
    </row>
    <row r="17" spans="1:12" ht="19.8" x14ac:dyDescent="0.3">
      <c r="A17" s="18">
        <v>45679</v>
      </c>
      <c r="B17" s="19">
        <v>5860</v>
      </c>
      <c r="C17" s="19">
        <v>7765</v>
      </c>
      <c r="D17" s="19">
        <v>6558</v>
      </c>
      <c r="E17" s="19">
        <v>6798</v>
      </c>
      <c r="F17" s="19">
        <v>4231</v>
      </c>
      <c r="G17" s="19">
        <v>7412</v>
      </c>
      <c r="H17" s="19">
        <v>7296</v>
      </c>
      <c r="I17" s="19">
        <v>4296</v>
      </c>
      <c r="J17" s="19">
        <v>7105</v>
      </c>
      <c r="K17" s="19">
        <v>6777</v>
      </c>
      <c r="L17" s="20">
        <f t="shared" si="0"/>
        <v>64098</v>
      </c>
    </row>
    <row r="18" spans="1:12" ht="19.8" x14ac:dyDescent="0.3">
      <c r="A18" s="18">
        <v>45680</v>
      </c>
      <c r="B18" s="19">
        <v>6898</v>
      </c>
      <c r="C18" s="19">
        <v>5623</v>
      </c>
      <c r="D18" s="19">
        <v>6333</v>
      </c>
      <c r="E18" s="19">
        <v>6779</v>
      </c>
      <c r="F18" s="19">
        <v>6484</v>
      </c>
      <c r="G18" s="19">
        <v>5070</v>
      </c>
      <c r="H18" s="19">
        <v>7515</v>
      </c>
      <c r="I18" s="19">
        <v>4923</v>
      </c>
      <c r="J18" s="19">
        <v>6856</v>
      </c>
      <c r="K18" s="19">
        <v>6913</v>
      </c>
      <c r="L18" s="20">
        <f t="shared" si="0"/>
        <v>63394</v>
      </c>
    </row>
    <row r="19" spans="1:12" ht="19.8" x14ac:dyDescent="0.3">
      <c r="A19" s="18">
        <v>45681</v>
      </c>
      <c r="B19" s="19">
        <v>5807</v>
      </c>
      <c r="C19" s="19">
        <v>7454</v>
      </c>
      <c r="D19" s="19">
        <v>6813</v>
      </c>
      <c r="E19" s="19">
        <v>5497</v>
      </c>
      <c r="F19" s="19">
        <v>7473</v>
      </c>
      <c r="G19" s="19">
        <v>4789</v>
      </c>
      <c r="H19" s="19">
        <v>7286</v>
      </c>
      <c r="I19" s="19">
        <v>4928</v>
      </c>
      <c r="J19" s="19">
        <v>5616</v>
      </c>
      <c r="K19" s="19">
        <v>4211</v>
      </c>
      <c r="L19" s="20">
        <f t="shared" si="0"/>
        <v>59874</v>
      </c>
    </row>
    <row r="20" spans="1:12" ht="19.8" x14ac:dyDescent="0.3">
      <c r="A20" s="18">
        <v>45684</v>
      </c>
      <c r="B20" s="19">
        <v>5126</v>
      </c>
      <c r="C20" s="19">
        <v>7131</v>
      </c>
      <c r="D20" s="19">
        <v>4147</v>
      </c>
      <c r="E20" s="19">
        <v>4223</v>
      </c>
      <c r="F20" s="19">
        <v>4403</v>
      </c>
      <c r="G20" s="19">
        <v>7381</v>
      </c>
      <c r="H20" s="19">
        <v>7568</v>
      </c>
      <c r="I20" s="19">
        <v>4728</v>
      </c>
      <c r="J20" s="19">
        <v>7239</v>
      </c>
      <c r="K20" s="19">
        <v>6715</v>
      </c>
      <c r="L20" s="20">
        <f t="shared" si="0"/>
        <v>58661</v>
      </c>
    </row>
    <row r="21" spans="1:12" ht="19.8" x14ac:dyDescent="0.3">
      <c r="A21" s="18">
        <v>45685</v>
      </c>
      <c r="B21" s="19">
        <v>5497</v>
      </c>
      <c r="C21" s="19">
        <v>4607</v>
      </c>
      <c r="D21" s="19">
        <v>5960</v>
      </c>
      <c r="E21" s="19">
        <v>4545</v>
      </c>
      <c r="F21" s="19">
        <v>6744</v>
      </c>
      <c r="G21" s="19">
        <v>5889</v>
      </c>
      <c r="H21" s="19">
        <v>7337</v>
      </c>
      <c r="I21" s="19">
        <v>4889</v>
      </c>
      <c r="J21" s="19">
        <v>6823</v>
      </c>
      <c r="K21" s="19">
        <v>7364</v>
      </c>
      <c r="L21" s="20">
        <f t="shared" si="0"/>
        <v>59655</v>
      </c>
    </row>
    <row r="22" spans="1:12" ht="19.8" x14ac:dyDescent="0.3">
      <c r="A22" s="18">
        <v>45686</v>
      </c>
      <c r="B22" s="19">
        <v>6343</v>
      </c>
      <c r="C22" s="19">
        <v>4616</v>
      </c>
      <c r="D22" s="19">
        <v>5410</v>
      </c>
      <c r="E22" s="19">
        <v>4247</v>
      </c>
      <c r="F22" s="19">
        <v>4574</v>
      </c>
      <c r="G22" s="19">
        <v>5292</v>
      </c>
      <c r="H22" s="19">
        <v>4176</v>
      </c>
      <c r="I22" s="19">
        <v>6711</v>
      </c>
      <c r="J22" s="19">
        <v>4914</v>
      </c>
      <c r="K22" s="19">
        <v>4052</v>
      </c>
      <c r="L22" s="20">
        <f t="shared" si="0"/>
        <v>50335</v>
      </c>
    </row>
    <row r="23" spans="1:12" ht="19.8" x14ac:dyDescent="0.3">
      <c r="A23" s="18">
        <v>45687</v>
      </c>
      <c r="B23" s="19">
        <v>6505</v>
      </c>
      <c r="C23" s="19">
        <v>6823</v>
      </c>
      <c r="D23" s="19">
        <v>6069</v>
      </c>
      <c r="E23" s="19">
        <v>7236</v>
      </c>
      <c r="F23" s="19">
        <v>6087</v>
      </c>
      <c r="G23" s="19">
        <v>5065</v>
      </c>
      <c r="H23" s="19">
        <v>7578</v>
      </c>
      <c r="I23" s="19">
        <v>6525</v>
      </c>
      <c r="J23" s="19">
        <v>6939</v>
      </c>
      <c r="K23" s="19">
        <v>4113</v>
      </c>
      <c r="L23" s="20">
        <f t="shared" si="0"/>
        <v>62940</v>
      </c>
    </row>
    <row r="24" spans="1:12" ht="19.8" x14ac:dyDescent="0.3">
      <c r="A24" s="18">
        <v>45688</v>
      </c>
      <c r="B24" s="19">
        <v>6248</v>
      </c>
      <c r="C24" s="19">
        <v>5870</v>
      </c>
      <c r="D24" s="19">
        <v>4352</v>
      </c>
      <c r="E24" s="19">
        <v>7221</v>
      </c>
      <c r="F24" s="19">
        <v>7620</v>
      </c>
      <c r="G24" s="19">
        <v>4696</v>
      </c>
      <c r="H24" s="19">
        <v>5116</v>
      </c>
      <c r="I24" s="19">
        <v>5222</v>
      </c>
      <c r="J24" s="19">
        <v>4351</v>
      </c>
      <c r="K24" s="19">
        <v>7187</v>
      </c>
      <c r="L24" s="20">
        <f t="shared" si="0"/>
        <v>57883</v>
      </c>
    </row>
    <row r="25" spans="1:12" ht="19.8" x14ac:dyDescent="0.3">
      <c r="A25" s="18">
        <v>45691</v>
      </c>
      <c r="B25" s="19">
        <v>5771</v>
      </c>
      <c r="C25" s="19">
        <v>4837</v>
      </c>
      <c r="D25" s="19">
        <v>4595</v>
      </c>
      <c r="E25" s="19">
        <v>6026</v>
      </c>
      <c r="F25" s="19">
        <v>6356</v>
      </c>
      <c r="G25" s="19">
        <v>4157</v>
      </c>
      <c r="H25" s="19">
        <v>4952</v>
      </c>
      <c r="I25" s="19">
        <v>6721</v>
      </c>
      <c r="J25" s="19">
        <v>5108</v>
      </c>
      <c r="K25" s="19">
        <v>7998</v>
      </c>
      <c r="L25" s="20">
        <f t="shared" si="0"/>
        <v>56521</v>
      </c>
    </row>
    <row r="26" spans="1:12" ht="19.8" x14ac:dyDescent="0.3">
      <c r="A26" s="18">
        <v>45692</v>
      </c>
      <c r="B26" s="19">
        <v>7399</v>
      </c>
      <c r="C26" s="19">
        <v>4576</v>
      </c>
      <c r="D26" s="19">
        <v>6902</v>
      </c>
      <c r="E26" s="19">
        <v>5386</v>
      </c>
      <c r="F26" s="19">
        <v>7059</v>
      </c>
      <c r="G26" s="19">
        <v>5667</v>
      </c>
      <c r="H26" s="19">
        <v>5483</v>
      </c>
      <c r="I26" s="19">
        <v>7269</v>
      </c>
      <c r="J26" s="19">
        <v>6361</v>
      </c>
      <c r="K26" s="19">
        <v>6136</v>
      </c>
      <c r="L26" s="20">
        <f t="shared" si="0"/>
        <v>62238</v>
      </c>
    </row>
    <row r="27" spans="1:12" ht="19.8" x14ac:dyDescent="0.3">
      <c r="A27" s="18">
        <v>45693</v>
      </c>
      <c r="B27" s="19">
        <v>6195</v>
      </c>
      <c r="C27" s="19">
        <v>4109</v>
      </c>
      <c r="D27" s="19">
        <v>4372</v>
      </c>
      <c r="E27" s="19">
        <v>5000</v>
      </c>
      <c r="F27" s="19">
        <v>7355</v>
      </c>
      <c r="G27" s="19">
        <v>5243</v>
      </c>
      <c r="H27" s="19">
        <v>7763</v>
      </c>
      <c r="I27" s="19">
        <v>7545</v>
      </c>
      <c r="J27" s="19">
        <v>5795</v>
      </c>
      <c r="K27" s="19">
        <v>6985</v>
      </c>
      <c r="L27" s="20">
        <f t="shared" si="0"/>
        <v>60362</v>
      </c>
    </row>
    <row r="28" spans="1:12" ht="19.8" x14ac:dyDescent="0.3">
      <c r="A28" s="18">
        <v>45694</v>
      </c>
      <c r="B28" s="19">
        <v>4904</v>
      </c>
      <c r="C28" s="19">
        <v>6718</v>
      </c>
      <c r="D28" s="19">
        <v>6927</v>
      </c>
      <c r="E28" s="19">
        <v>5229</v>
      </c>
      <c r="F28" s="19">
        <v>6988</v>
      </c>
      <c r="G28" s="19">
        <v>7114</v>
      </c>
      <c r="H28" s="19">
        <v>5434</v>
      </c>
      <c r="I28" s="19">
        <v>4326</v>
      </c>
      <c r="J28" s="19">
        <v>7526</v>
      </c>
      <c r="K28" s="19">
        <v>6106</v>
      </c>
      <c r="L28" s="20">
        <f t="shared" si="0"/>
        <v>61272</v>
      </c>
    </row>
    <row r="29" spans="1:12" ht="19.8" x14ac:dyDescent="0.3">
      <c r="A29" s="18">
        <v>45695</v>
      </c>
      <c r="B29" s="19">
        <v>6728</v>
      </c>
      <c r="C29" s="19">
        <v>6057</v>
      </c>
      <c r="D29" s="19">
        <v>6533</v>
      </c>
      <c r="E29" s="19">
        <v>4801</v>
      </c>
      <c r="F29" s="19">
        <v>7864</v>
      </c>
      <c r="G29" s="19">
        <v>4486</v>
      </c>
      <c r="H29" s="19">
        <v>4384</v>
      </c>
      <c r="I29" s="19">
        <v>5974</v>
      </c>
      <c r="J29" s="19">
        <v>6547</v>
      </c>
      <c r="K29" s="19">
        <v>6119</v>
      </c>
      <c r="L29" s="20">
        <f t="shared" si="0"/>
        <v>59493</v>
      </c>
    </row>
    <row r="30" spans="1:12" ht="19.8" x14ac:dyDescent="0.3">
      <c r="A30" s="18">
        <v>45698</v>
      </c>
      <c r="B30" s="19">
        <v>4140</v>
      </c>
      <c r="C30" s="19">
        <v>6539</v>
      </c>
      <c r="D30" s="19">
        <v>7019</v>
      </c>
      <c r="E30" s="19">
        <v>7845</v>
      </c>
      <c r="F30" s="19">
        <v>7891</v>
      </c>
      <c r="G30" s="19">
        <v>5719</v>
      </c>
      <c r="H30" s="19">
        <v>4025</v>
      </c>
      <c r="I30" s="19">
        <v>5636</v>
      </c>
      <c r="J30" s="19">
        <v>7402</v>
      </c>
      <c r="K30" s="19">
        <v>7277</v>
      </c>
      <c r="L30" s="20">
        <f t="shared" si="0"/>
        <v>63493</v>
      </c>
    </row>
    <row r="31" spans="1:12" ht="19.8" x14ac:dyDescent="0.3">
      <c r="A31" s="18">
        <v>45699</v>
      </c>
      <c r="B31" s="19">
        <v>6063</v>
      </c>
      <c r="C31" s="19">
        <v>7859</v>
      </c>
      <c r="D31" s="19">
        <v>4959</v>
      </c>
      <c r="E31" s="19">
        <v>7201</v>
      </c>
      <c r="F31" s="19">
        <v>4572</v>
      </c>
      <c r="G31" s="19">
        <v>7366</v>
      </c>
      <c r="H31" s="19">
        <v>7696</v>
      </c>
      <c r="I31" s="19">
        <v>6574</v>
      </c>
      <c r="J31" s="19">
        <v>4067</v>
      </c>
      <c r="K31" s="19">
        <v>6078</v>
      </c>
      <c r="L31" s="20">
        <f t="shared" si="0"/>
        <v>62435</v>
      </c>
    </row>
    <row r="32" spans="1:12" ht="19.8" x14ac:dyDescent="0.3">
      <c r="A32" s="18">
        <v>45700</v>
      </c>
      <c r="B32" s="19">
        <v>7565</v>
      </c>
      <c r="C32" s="19">
        <v>7722</v>
      </c>
      <c r="D32" s="19">
        <v>5860</v>
      </c>
      <c r="E32" s="19">
        <v>4106</v>
      </c>
      <c r="F32" s="19">
        <v>7310</v>
      </c>
      <c r="G32" s="19">
        <v>6376</v>
      </c>
      <c r="H32" s="19">
        <v>7435</v>
      </c>
      <c r="I32" s="19">
        <v>4168</v>
      </c>
      <c r="J32" s="19">
        <v>7132</v>
      </c>
      <c r="K32" s="19">
        <v>5454</v>
      </c>
      <c r="L32" s="20">
        <f t="shared" si="0"/>
        <v>63128</v>
      </c>
    </row>
    <row r="33" spans="1:12" ht="19.8" x14ac:dyDescent="0.3">
      <c r="A33" s="18">
        <v>45701</v>
      </c>
      <c r="B33" s="19">
        <v>6779</v>
      </c>
      <c r="C33" s="19">
        <v>7950</v>
      </c>
      <c r="D33" s="19">
        <v>7895</v>
      </c>
      <c r="E33" s="19">
        <v>6643</v>
      </c>
      <c r="F33" s="19">
        <v>5333</v>
      </c>
      <c r="G33" s="19">
        <v>4822</v>
      </c>
      <c r="H33" s="19">
        <v>7684</v>
      </c>
      <c r="I33" s="19">
        <v>6097</v>
      </c>
      <c r="J33" s="19">
        <v>4463</v>
      </c>
      <c r="K33" s="19">
        <v>5650</v>
      </c>
      <c r="L33" s="20">
        <f t="shared" si="0"/>
        <v>63316</v>
      </c>
    </row>
    <row r="34" spans="1:12" ht="19.8" x14ac:dyDescent="0.3">
      <c r="A34" s="18">
        <v>45702</v>
      </c>
      <c r="B34" s="19">
        <v>6830</v>
      </c>
      <c r="C34" s="19">
        <v>5054</v>
      </c>
      <c r="D34" s="19">
        <v>4902</v>
      </c>
      <c r="E34" s="19">
        <v>4023</v>
      </c>
      <c r="F34" s="19">
        <v>7594</v>
      </c>
      <c r="G34" s="19">
        <v>7879</v>
      </c>
      <c r="H34" s="19">
        <v>4947</v>
      </c>
      <c r="I34" s="19">
        <v>7588</v>
      </c>
      <c r="J34" s="19">
        <v>6151</v>
      </c>
      <c r="K34" s="19">
        <v>5899</v>
      </c>
      <c r="L34" s="20">
        <f t="shared" si="0"/>
        <v>60867</v>
      </c>
    </row>
    <row r="35" spans="1:12" ht="19.8" x14ac:dyDescent="0.3">
      <c r="A35" s="18">
        <v>45705</v>
      </c>
      <c r="B35" s="19">
        <v>6599</v>
      </c>
      <c r="C35" s="19">
        <v>5263</v>
      </c>
      <c r="D35" s="19">
        <v>6301</v>
      </c>
      <c r="E35" s="19">
        <v>7943</v>
      </c>
      <c r="F35" s="19">
        <v>7695</v>
      </c>
      <c r="G35" s="19">
        <v>5431</v>
      </c>
      <c r="H35" s="19">
        <v>7072</v>
      </c>
      <c r="I35" s="19">
        <v>4808</v>
      </c>
      <c r="J35" s="19">
        <v>5747</v>
      </c>
      <c r="K35" s="19">
        <v>7635</v>
      </c>
      <c r="L35" s="20">
        <f t="shared" si="0"/>
        <v>64494</v>
      </c>
    </row>
    <row r="36" spans="1:12" ht="19.8" x14ac:dyDescent="0.3">
      <c r="A36" s="18">
        <v>45706</v>
      </c>
      <c r="B36" s="19">
        <v>7704</v>
      </c>
      <c r="C36" s="19">
        <v>7589</v>
      </c>
      <c r="D36" s="19">
        <v>6806</v>
      </c>
      <c r="E36" s="19">
        <v>7406</v>
      </c>
      <c r="F36" s="19">
        <v>5902</v>
      </c>
      <c r="G36" s="19">
        <v>5268</v>
      </c>
      <c r="H36" s="19">
        <v>4643</v>
      </c>
      <c r="I36" s="19">
        <v>4056</v>
      </c>
      <c r="J36" s="19">
        <v>4374</v>
      </c>
      <c r="K36" s="19">
        <v>5458</v>
      </c>
      <c r="L36" s="20">
        <f t="shared" si="0"/>
        <v>59206</v>
      </c>
    </row>
    <row r="37" spans="1:12" ht="19.8" x14ac:dyDescent="0.3">
      <c r="A37" s="18">
        <v>45707</v>
      </c>
      <c r="B37" s="19">
        <v>7130</v>
      </c>
      <c r="C37" s="19">
        <v>6792</v>
      </c>
      <c r="D37" s="19">
        <v>4823</v>
      </c>
      <c r="E37" s="19">
        <v>7099</v>
      </c>
      <c r="F37" s="19">
        <v>5586</v>
      </c>
      <c r="G37" s="19">
        <v>5020</v>
      </c>
      <c r="H37" s="19">
        <v>7683</v>
      </c>
      <c r="I37" s="19">
        <v>4040</v>
      </c>
      <c r="J37" s="19">
        <v>5608</v>
      </c>
      <c r="K37" s="19">
        <v>7824</v>
      </c>
      <c r="L37" s="20">
        <f t="shared" si="0"/>
        <v>61605</v>
      </c>
    </row>
    <row r="38" spans="1:12" ht="19.8" x14ac:dyDescent="0.3">
      <c r="A38" s="18">
        <v>45708</v>
      </c>
      <c r="B38" s="19">
        <v>6422</v>
      </c>
      <c r="C38" s="19">
        <v>6450</v>
      </c>
      <c r="D38" s="19">
        <v>4104</v>
      </c>
      <c r="E38" s="19">
        <v>6725</v>
      </c>
      <c r="F38" s="19">
        <v>4949</v>
      </c>
      <c r="G38" s="19">
        <v>7511</v>
      </c>
      <c r="H38" s="19">
        <v>5235</v>
      </c>
      <c r="I38" s="19">
        <v>7708</v>
      </c>
      <c r="J38" s="19">
        <v>4698</v>
      </c>
      <c r="K38" s="19">
        <v>6077</v>
      </c>
      <c r="L38" s="20">
        <f t="shared" si="0"/>
        <v>59879</v>
      </c>
    </row>
    <row r="39" spans="1:12" ht="19.8" x14ac:dyDescent="0.3">
      <c r="A39" s="18">
        <v>45709</v>
      </c>
      <c r="B39" s="19">
        <v>7665</v>
      </c>
      <c r="C39" s="19">
        <v>4957</v>
      </c>
      <c r="D39" s="19">
        <v>4502</v>
      </c>
      <c r="E39" s="19">
        <v>4846</v>
      </c>
      <c r="F39" s="19">
        <v>4713</v>
      </c>
      <c r="G39" s="19">
        <v>7580</v>
      </c>
      <c r="H39" s="19">
        <v>7279</v>
      </c>
      <c r="I39" s="19">
        <v>5732</v>
      </c>
      <c r="J39" s="19">
        <v>6661</v>
      </c>
      <c r="K39" s="19">
        <v>5920</v>
      </c>
      <c r="L39" s="20">
        <f t="shared" si="0"/>
        <v>59855</v>
      </c>
    </row>
    <row r="40" spans="1:12" ht="19.8" x14ac:dyDescent="0.3">
      <c r="A40" s="18">
        <v>45712</v>
      </c>
      <c r="B40" s="19">
        <v>4388</v>
      </c>
      <c r="C40" s="19">
        <v>6231</v>
      </c>
      <c r="D40" s="19">
        <v>6651</v>
      </c>
      <c r="E40" s="19">
        <v>7554</v>
      </c>
      <c r="F40" s="19">
        <v>7073</v>
      </c>
      <c r="G40" s="19">
        <v>4504</v>
      </c>
      <c r="H40" s="19">
        <v>6643</v>
      </c>
      <c r="I40" s="19">
        <v>6255</v>
      </c>
      <c r="J40" s="19">
        <v>5071</v>
      </c>
      <c r="K40" s="19">
        <v>7792</v>
      </c>
      <c r="L40" s="20">
        <f t="shared" si="0"/>
        <v>62162</v>
      </c>
    </row>
    <row r="41" spans="1:12" ht="19.8" x14ac:dyDescent="0.3">
      <c r="A41" s="18">
        <v>45713</v>
      </c>
      <c r="B41" s="19">
        <v>4643</v>
      </c>
      <c r="C41" s="19">
        <v>6608</v>
      </c>
      <c r="D41" s="19">
        <v>7849</v>
      </c>
      <c r="E41" s="19">
        <v>5340</v>
      </c>
      <c r="F41" s="19">
        <v>5226</v>
      </c>
      <c r="G41" s="19">
        <v>4430</v>
      </c>
      <c r="H41" s="19">
        <v>5594</v>
      </c>
      <c r="I41" s="19">
        <v>5540</v>
      </c>
      <c r="J41" s="19">
        <v>5027</v>
      </c>
      <c r="K41" s="19">
        <v>7682</v>
      </c>
      <c r="L41" s="20">
        <f t="shared" si="0"/>
        <v>57939</v>
      </c>
    </row>
    <row r="42" spans="1:12" ht="19.8" x14ac:dyDescent="0.3">
      <c r="A42" s="18">
        <v>45714</v>
      </c>
      <c r="B42" s="19">
        <v>7817</v>
      </c>
      <c r="C42" s="19">
        <v>6370</v>
      </c>
      <c r="D42" s="19">
        <v>5485</v>
      </c>
      <c r="E42" s="19">
        <v>4762</v>
      </c>
      <c r="F42" s="19">
        <v>6118</v>
      </c>
      <c r="G42" s="19">
        <v>4605</v>
      </c>
      <c r="H42" s="19">
        <v>4054</v>
      </c>
      <c r="I42" s="19">
        <v>6998</v>
      </c>
      <c r="J42" s="19">
        <v>5687</v>
      </c>
      <c r="K42" s="19">
        <v>5854</v>
      </c>
      <c r="L42" s="20">
        <f t="shared" si="0"/>
        <v>57750</v>
      </c>
    </row>
    <row r="43" spans="1:12" ht="19.8" x14ac:dyDescent="0.3">
      <c r="A43" s="18">
        <v>45715</v>
      </c>
      <c r="B43" s="19">
        <v>5164</v>
      </c>
      <c r="C43" s="19">
        <v>5049</v>
      </c>
      <c r="D43" s="19">
        <v>7880</v>
      </c>
      <c r="E43" s="19">
        <v>5414</v>
      </c>
      <c r="F43" s="19">
        <v>4629</v>
      </c>
      <c r="G43" s="19">
        <v>4832</v>
      </c>
      <c r="H43" s="19">
        <v>5063</v>
      </c>
      <c r="I43" s="19">
        <v>6013</v>
      </c>
      <c r="J43" s="19">
        <v>6240</v>
      </c>
      <c r="K43" s="19">
        <v>5254</v>
      </c>
      <c r="L43" s="20">
        <f t="shared" si="0"/>
        <v>55538</v>
      </c>
    </row>
    <row r="44" spans="1:12" ht="19.8" x14ac:dyDescent="0.3">
      <c r="A44" s="18">
        <v>45716</v>
      </c>
      <c r="B44" s="19">
        <v>5837</v>
      </c>
      <c r="C44" s="19">
        <v>7800</v>
      </c>
      <c r="D44" s="19">
        <v>4530</v>
      </c>
      <c r="E44" s="19">
        <v>4065</v>
      </c>
      <c r="F44" s="19">
        <v>5991</v>
      </c>
      <c r="G44" s="19">
        <v>4711</v>
      </c>
      <c r="H44" s="19">
        <v>5205</v>
      </c>
      <c r="I44" s="19">
        <v>7185</v>
      </c>
      <c r="J44" s="19">
        <v>5564</v>
      </c>
      <c r="K44" s="19">
        <v>4496</v>
      </c>
      <c r="L44" s="20">
        <f t="shared" si="0"/>
        <v>55384</v>
      </c>
    </row>
    <row r="45" spans="1:12" ht="19.8" x14ac:dyDescent="0.3">
      <c r="A45" s="18">
        <v>45719</v>
      </c>
      <c r="B45" s="19">
        <v>6647</v>
      </c>
      <c r="C45" s="19">
        <v>7319</v>
      </c>
      <c r="D45" s="19">
        <v>6090</v>
      </c>
      <c r="E45" s="19">
        <v>5461</v>
      </c>
      <c r="F45" s="19">
        <v>5584</v>
      </c>
      <c r="G45" s="19">
        <v>6419</v>
      </c>
      <c r="H45" s="19">
        <v>4123</v>
      </c>
      <c r="I45" s="19">
        <v>6759</v>
      </c>
      <c r="J45" s="19">
        <v>7667</v>
      </c>
      <c r="K45" s="19">
        <v>7397</v>
      </c>
      <c r="L45" s="20">
        <f t="shared" si="0"/>
        <v>63466</v>
      </c>
    </row>
    <row r="46" spans="1:12" ht="19.8" x14ac:dyDescent="0.3">
      <c r="A46" s="18">
        <v>45720</v>
      </c>
      <c r="B46" s="19">
        <v>4457</v>
      </c>
      <c r="C46" s="19">
        <v>6281</v>
      </c>
      <c r="D46" s="19">
        <v>7507</v>
      </c>
      <c r="E46" s="19">
        <v>7721</v>
      </c>
      <c r="F46" s="19">
        <v>4996</v>
      </c>
      <c r="G46" s="19">
        <v>7761</v>
      </c>
      <c r="H46" s="19">
        <v>6543</v>
      </c>
      <c r="I46" s="19">
        <v>6687</v>
      </c>
      <c r="J46" s="19">
        <v>7016</v>
      </c>
      <c r="K46" s="19">
        <v>6071</v>
      </c>
      <c r="L46" s="20">
        <f t="shared" si="0"/>
        <v>65040</v>
      </c>
    </row>
    <row r="47" spans="1:12" ht="19.8" x14ac:dyDescent="0.3">
      <c r="A47" s="18">
        <v>45721</v>
      </c>
      <c r="B47" s="19">
        <v>5333</v>
      </c>
      <c r="C47" s="19">
        <v>5091</v>
      </c>
      <c r="D47" s="19">
        <v>4690</v>
      </c>
      <c r="E47" s="19">
        <v>7823</v>
      </c>
      <c r="F47" s="19">
        <v>7077</v>
      </c>
      <c r="G47" s="19">
        <v>4620</v>
      </c>
      <c r="H47" s="19">
        <v>4752</v>
      </c>
      <c r="I47" s="19">
        <v>6783</v>
      </c>
      <c r="J47" s="19">
        <v>7387</v>
      </c>
      <c r="K47" s="19">
        <v>5251</v>
      </c>
      <c r="L47" s="20">
        <f t="shared" si="0"/>
        <v>58807</v>
      </c>
    </row>
    <row r="48" spans="1:12" ht="19.8" x14ac:dyDescent="0.3">
      <c r="A48" s="18">
        <v>45722</v>
      </c>
      <c r="B48" s="19">
        <v>6480</v>
      </c>
      <c r="C48" s="19">
        <v>7978</v>
      </c>
      <c r="D48" s="19">
        <v>6860</v>
      </c>
      <c r="E48" s="19">
        <v>7278</v>
      </c>
      <c r="F48" s="19">
        <v>6320</v>
      </c>
      <c r="G48" s="19">
        <v>6713</v>
      </c>
      <c r="H48" s="19">
        <v>7714</v>
      </c>
      <c r="I48" s="19">
        <v>7056</v>
      </c>
      <c r="J48" s="19">
        <v>5374</v>
      </c>
      <c r="K48" s="19">
        <v>7501</v>
      </c>
      <c r="L48" s="20">
        <f t="shared" si="0"/>
        <v>69274</v>
      </c>
    </row>
    <row r="49" spans="1:12" ht="19.8" x14ac:dyDescent="0.3">
      <c r="A49" s="18">
        <v>45723</v>
      </c>
      <c r="B49" s="19">
        <v>6111</v>
      </c>
      <c r="C49" s="19">
        <v>7857</v>
      </c>
      <c r="D49" s="19">
        <v>7638</v>
      </c>
      <c r="E49" s="19">
        <v>5007</v>
      </c>
      <c r="F49" s="19">
        <v>7642</v>
      </c>
      <c r="G49" s="19">
        <v>4263</v>
      </c>
      <c r="H49" s="19">
        <v>4662</v>
      </c>
      <c r="I49" s="19">
        <v>7825</v>
      </c>
      <c r="J49" s="19">
        <v>4283</v>
      </c>
      <c r="K49" s="19">
        <v>6425</v>
      </c>
      <c r="L49" s="20">
        <f t="shared" si="0"/>
        <v>61713</v>
      </c>
    </row>
    <row r="50" spans="1:12" ht="19.8" x14ac:dyDescent="0.3">
      <c r="A50" s="18">
        <v>45726</v>
      </c>
      <c r="B50" s="19">
        <v>5333</v>
      </c>
      <c r="C50" s="19">
        <v>6770</v>
      </c>
      <c r="D50" s="19">
        <v>6559</v>
      </c>
      <c r="E50" s="19">
        <v>6622</v>
      </c>
      <c r="F50" s="19">
        <v>7755</v>
      </c>
      <c r="G50" s="19">
        <v>7897</v>
      </c>
      <c r="H50" s="19">
        <v>4861</v>
      </c>
      <c r="I50" s="19">
        <v>7768</v>
      </c>
      <c r="J50" s="19">
        <v>5336</v>
      </c>
      <c r="K50" s="19">
        <v>5576</v>
      </c>
      <c r="L50" s="20">
        <f t="shared" si="0"/>
        <v>64477</v>
      </c>
    </row>
    <row r="51" spans="1:12" ht="19.8" x14ac:dyDescent="0.3">
      <c r="A51" s="18">
        <v>45727</v>
      </c>
      <c r="B51" s="19">
        <v>4682</v>
      </c>
      <c r="C51" s="19">
        <v>7891</v>
      </c>
      <c r="D51" s="19">
        <v>4729</v>
      </c>
      <c r="E51" s="19">
        <v>7501</v>
      </c>
      <c r="F51" s="19">
        <v>6615</v>
      </c>
      <c r="G51" s="19">
        <v>6777</v>
      </c>
      <c r="H51" s="19">
        <v>7401</v>
      </c>
      <c r="I51" s="19">
        <v>4532</v>
      </c>
      <c r="J51" s="19">
        <v>7302</v>
      </c>
      <c r="K51" s="19">
        <v>4292</v>
      </c>
      <c r="L51" s="20">
        <f t="shared" si="0"/>
        <v>61722</v>
      </c>
    </row>
    <row r="52" spans="1:12" ht="19.8" x14ac:dyDescent="0.3">
      <c r="A52" s="18">
        <v>45728</v>
      </c>
      <c r="B52" s="19">
        <v>6723</v>
      </c>
      <c r="C52" s="19">
        <v>4229</v>
      </c>
      <c r="D52" s="19">
        <v>5588</v>
      </c>
      <c r="E52" s="19">
        <v>5139</v>
      </c>
      <c r="F52" s="19">
        <v>5038</v>
      </c>
      <c r="G52" s="19">
        <v>6219</v>
      </c>
      <c r="H52" s="19">
        <v>7660</v>
      </c>
      <c r="I52" s="19">
        <v>4137</v>
      </c>
      <c r="J52" s="19">
        <v>4927</v>
      </c>
      <c r="K52" s="19">
        <v>4531</v>
      </c>
      <c r="L52" s="20">
        <f t="shared" si="0"/>
        <v>54191</v>
      </c>
    </row>
    <row r="53" spans="1:12" ht="19.8" x14ac:dyDescent="0.3">
      <c r="A53" s="18">
        <v>45729</v>
      </c>
      <c r="B53" s="19">
        <v>6209</v>
      </c>
      <c r="C53" s="19">
        <v>6377</v>
      </c>
      <c r="D53" s="19">
        <v>6060</v>
      </c>
      <c r="E53" s="19">
        <v>6144</v>
      </c>
      <c r="F53" s="19">
        <v>6725</v>
      </c>
      <c r="G53" s="19">
        <v>5665</v>
      </c>
      <c r="H53" s="19">
        <v>4711</v>
      </c>
      <c r="I53" s="19">
        <v>7976</v>
      </c>
      <c r="J53" s="19">
        <v>4618</v>
      </c>
      <c r="K53" s="19">
        <v>7981</v>
      </c>
      <c r="L53" s="20">
        <f t="shared" si="0"/>
        <v>62466</v>
      </c>
    </row>
    <row r="54" spans="1:12" ht="19.8" x14ac:dyDescent="0.3">
      <c r="A54" s="18">
        <v>45730</v>
      </c>
      <c r="B54" s="19">
        <v>4543</v>
      </c>
      <c r="C54" s="19">
        <v>7605</v>
      </c>
      <c r="D54" s="19">
        <v>6503</v>
      </c>
      <c r="E54" s="19">
        <v>7177</v>
      </c>
      <c r="F54" s="19">
        <v>6275</v>
      </c>
      <c r="G54" s="19">
        <v>4392</v>
      </c>
      <c r="H54" s="19">
        <v>4844</v>
      </c>
      <c r="I54" s="19">
        <v>4093</v>
      </c>
      <c r="J54" s="19">
        <v>5205</v>
      </c>
      <c r="K54" s="19">
        <v>7455</v>
      </c>
      <c r="L54" s="20">
        <f t="shared" si="0"/>
        <v>58092</v>
      </c>
    </row>
    <row r="55" spans="1:12" ht="19.8" x14ac:dyDescent="0.3">
      <c r="A55" s="18">
        <v>45733</v>
      </c>
      <c r="B55" s="19">
        <v>6237</v>
      </c>
      <c r="C55" s="19">
        <v>4919</v>
      </c>
      <c r="D55" s="19">
        <v>4773</v>
      </c>
      <c r="E55" s="19">
        <v>4924</v>
      </c>
      <c r="F55" s="19">
        <v>5979</v>
      </c>
      <c r="G55" s="19">
        <v>7975</v>
      </c>
      <c r="H55" s="19">
        <v>4081</v>
      </c>
      <c r="I55" s="19">
        <v>4975</v>
      </c>
      <c r="J55" s="19">
        <v>7417</v>
      </c>
      <c r="K55" s="19">
        <v>4403</v>
      </c>
      <c r="L55" s="20">
        <f t="shared" si="0"/>
        <v>55683</v>
      </c>
    </row>
    <row r="56" spans="1:12" ht="19.8" x14ac:dyDescent="0.3">
      <c r="A56" s="18">
        <v>45734</v>
      </c>
      <c r="B56" s="19">
        <v>4583</v>
      </c>
      <c r="C56" s="19">
        <v>6169</v>
      </c>
      <c r="D56" s="19">
        <v>6465</v>
      </c>
      <c r="E56" s="19">
        <v>7849</v>
      </c>
      <c r="F56" s="19">
        <v>7816</v>
      </c>
      <c r="G56" s="19">
        <v>5773</v>
      </c>
      <c r="H56" s="19">
        <v>4258</v>
      </c>
      <c r="I56" s="19">
        <v>6383</v>
      </c>
      <c r="J56" s="19">
        <v>5657</v>
      </c>
      <c r="K56" s="19">
        <v>6938</v>
      </c>
      <c r="L56" s="20">
        <f t="shared" si="0"/>
        <v>61891</v>
      </c>
    </row>
    <row r="57" spans="1:12" ht="19.8" x14ac:dyDescent="0.3">
      <c r="A57" s="18">
        <v>45735</v>
      </c>
      <c r="B57" s="19">
        <v>5108</v>
      </c>
      <c r="C57" s="19">
        <v>7412</v>
      </c>
      <c r="D57" s="19">
        <v>4890</v>
      </c>
      <c r="E57" s="19">
        <v>6282</v>
      </c>
      <c r="F57" s="19">
        <v>6575</v>
      </c>
      <c r="G57" s="19">
        <v>7153</v>
      </c>
      <c r="H57" s="19">
        <v>4419</v>
      </c>
      <c r="I57" s="19">
        <v>6888</v>
      </c>
      <c r="J57" s="19">
        <v>7964</v>
      </c>
      <c r="K57" s="19">
        <v>5125</v>
      </c>
      <c r="L57" s="20">
        <f t="shared" si="0"/>
        <v>61816</v>
      </c>
    </row>
    <row r="58" spans="1:12" ht="19.8" x14ac:dyDescent="0.3">
      <c r="A58" s="18">
        <v>45736</v>
      </c>
      <c r="B58" s="19">
        <v>7301</v>
      </c>
      <c r="C58" s="19">
        <v>7030</v>
      </c>
      <c r="D58" s="19">
        <v>5832</v>
      </c>
      <c r="E58" s="19">
        <v>5105</v>
      </c>
      <c r="F58" s="19">
        <v>4391</v>
      </c>
      <c r="G58" s="19">
        <v>7579</v>
      </c>
      <c r="H58" s="19">
        <v>6076</v>
      </c>
      <c r="I58" s="19">
        <v>7921</v>
      </c>
      <c r="J58" s="19">
        <v>5402</v>
      </c>
      <c r="K58" s="19">
        <v>5910</v>
      </c>
      <c r="L58" s="20">
        <f t="shared" si="0"/>
        <v>62547</v>
      </c>
    </row>
    <row r="59" spans="1:12" ht="19.8" x14ac:dyDescent="0.3">
      <c r="A59" s="18">
        <v>45737</v>
      </c>
      <c r="B59" s="19">
        <v>6853</v>
      </c>
      <c r="C59" s="19">
        <v>4056</v>
      </c>
      <c r="D59" s="19">
        <v>4738</v>
      </c>
      <c r="E59" s="19">
        <v>6092</v>
      </c>
      <c r="F59" s="19">
        <v>5349</v>
      </c>
      <c r="G59" s="19">
        <v>7015</v>
      </c>
      <c r="H59" s="19">
        <v>5385</v>
      </c>
      <c r="I59" s="19">
        <v>4189</v>
      </c>
      <c r="J59" s="19">
        <v>6819</v>
      </c>
      <c r="K59" s="19">
        <v>4931</v>
      </c>
      <c r="L59" s="20">
        <f t="shared" si="0"/>
        <v>55427</v>
      </c>
    </row>
    <row r="60" spans="1:12" ht="19.8" x14ac:dyDescent="0.3">
      <c r="A60" s="18">
        <v>45740</v>
      </c>
      <c r="B60" s="19">
        <v>6161</v>
      </c>
      <c r="C60" s="19">
        <v>7832</v>
      </c>
      <c r="D60" s="19">
        <v>6654</v>
      </c>
      <c r="E60" s="19">
        <v>6250</v>
      </c>
      <c r="F60" s="19">
        <v>6421</v>
      </c>
      <c r="G60" s="19">
        <v>6452</v>
      </c>
      <c r="H60" s="19">
        <v>7878</v>
      </c>
      <c r="I60" s="19">
        <v>5658</v>
      </c>
      <c r="J60" s="19">
        <v>6879</v>
      </c>
      <c r="K60" s="19">
        <v>4729</v>
      </c>
      <c r="L60" s="20">
        <f t="shared" si="0"/>
        <v>64914</v>
      </c>
    </row>
    <row r="61" spans="1:12" ht="19.8" x14ac:dyDescent="0.3">
      <c r="A61" s="18">
        <v>45741</v>
      </c>
      <c r="B61" s="19">
        <v>6499</v>
      </c>
      <c r="C61" s="19">
        <v>5187</v>
      </c>
      <c r="D61" s="19">
        <v>7976</v>
      </c>
      <c r="E61" s="19">
        <v>6471</v>
      </c>
      <c r="F61" s="19">
        <v>4559</v>
      </c>
      <c r="G61" s="19">
        <v>6162</v>
      </c>
      <c r="H61" s="19">
        <v>5033</v>
      </c>
      <c r="I61" s="19">
        <v>5105</v>
      </c>
      <c r="J61" s="19">
        <v>4576</v>
      </c>
      <c r="K61" s="19">
        <v>6162</v>
      </c>
      <c r="L61" s="20">
        <f t="shared" si="0"/>
        <v>57730</v>
      </c>
    </row>
    <row r="62" spans="1:12" ht="19.8" x14ac:dyDescent="0.3">
      <c r="A62" s="18">
        <v>45742</v>
      </c>
      <c r="B62" s="19">
        <v>7708</v>
      </c>
      <c r="C62" s="19">
        <v>4829</v>
      </c>
      <c r="D62" s="19">
        <v>4187</v>
      </c>
      <c r="E62" s="19">
        <v>6671</v>
      </c>
      <c r="F62" s="19">
        <v>7434</v>
      </c>
      <c r="G62" s="19">
        <v>4912</v>
      </c>
      <c r="H62" s="19">
        <v>4391</v>
      </c>
      <c r="I62" s="19">
        <v>7427</v>
      </c>
      <c r="J62" s="19">
        <v>5853</v>
      </c>
      <c r="K62" s="19">
        <v>6556</v>
      </c>
      <c r="L62" s="20">
        <f t="shared" si="0"/>
        <v>59968</v>
      </c>
    </row>
    <row r="63" spans="1:12" ht="19.8" x14ac:dyDescent="0.3">
      <c r="A63" s="18">
        <v>45743</v>
      </c>
      <c r="B63" s="19">
        <v>7705</v>
      </c>
      <c r="C63" s="19">
        <v>5248</v>
      </c>
      <c r="D63" s="19">
        <v>5095</v>
      </c>
      <c r="E63" s="19">
        <v>6478</v>
      </c>
      <c r="F63" s="19">
        <v>7056</v>
      </c>
      <c r="G63" s="19">
        <v>6966</v>
      </c>
      <c r="H63" s="19">
        <v>6465</v>
      </c>
      <c r="I63" s="19">
        <v>4627</v>
      </c>
      <c r="J63" s="19">
        <v>7576</v>
      </c>
      <c r="K63" s="19">
        <v>7378</v>
      </c>
      <c r="L63" s="20">
        <f t="shared" si="0"/>
        <v>64594</v>
      </c>
    </row>
    <row r="64" spans="1:12" ht="19.8" x14ac:dyDescent="0.3">
      <c r="A64" s="18">
        <v>45744</v>
      </c>
      <c r="B64" s="19">
        <v>6481</v>
      </c>
      <c r="C64" s="19">
        <v>4873</v>
      </c>
      <c r="D64" s="19">
        <v>5151</v>
      </c>
      <c r="E64" s="19">
        <v>4896</v>
      </c>
      <c r="F64" s="19">
        <v>4916</v>
      </c>
      <c r="G64" s="19">
        <v>5932</v>
      </c>
      <c r="H64" s="19">
        <v>6213</v>
      </c>
      <c r="I64" s="19">
        <v>5770</v>
      </c>
      <c r="J64" s="19">
        <v>7127</v>
      </c>
      <c r="K64" s="19">
        <v>7502</v>
      </c>
      <c r="L64" s="20">
        <f t="shared" si="0"/>
        <v>58861</v>
      </c>
    </row>
    <row r="65" spans="1:12" ht="19.8" x14ac:dyDescent="0.3">
      <c r="A65" s="18">
        <v>45747</v>
      </c>
      <c r="B65" s="19">
        <v>4666</v>
      </c>
      <c r="C65" s="19">
        <v>7523</v>
      </c>
      <c r="D65" s="19">
        <v>6963</v>
      </c>
      <c r="E65" s="19">
        <v>4745</v>
      </c>
      <c r="F65" s="19">
        <v>6426</v>
      </c>
      <c r="G65" s="19">
        <v>5011</v>
      </c>
      <c r="H65" s="19">
        <v>5407</v>
      </c>
      <c r="I65" s="19">
        <v>7755</v>
      </c>
      <c r="J65" s="19">
        <v>5473</v>
      </c>
      <c r="K65" s="19">
        <v>7964</v>
      </c>
      <c r="L65" s="20">
        <f t="shared" si="0"/>
        <v>61933</v>
      </c>
    </row>
    <row r="66" spans="1:12" ht="19.8" x14ac:dyDescent="0.3">
      <c r="A66" s="18">
        <v>45748</v>
      </c>
      <c r="B66" s="19">
        <v>4675</v>
      </c>
      <c r="C66" s="19">
        <v>7920</v>
      </c>
      <c r="D66" s="19">
        <v>5244</v>
      </c>
      <c r="E66" s="19">
        <v>7260</v>
      </c>
      <c r="F66" s="19">
        <v>4612</v>
      </c>
      <c r="G66" s="19">
        <v>6119</v>
      </c>
      <c r="H66" s="19">
        <v>6634</v>
      </c>
      <c r="I66" s="19">
        <v>7019</v>
      </c>
      <c r="J66" s="19">
        <v>4527</v>
      </c>
      <c r="K66" s="19">
        <v>4369</v>
      </c>
      <c r="L66" s="20">
        <f t="shared" si="0"/>
        <v>58379</v>
      </c>
    </row>
    <row r="67" spans="1:12" ht="19.8" x14ac:dyDescent="0.3">
      <c r="A67" s="18">
        <v>45749</v>
      </c>
      <c r="B67" s="19">
        <v>7700</v>
      </c>
      <c r="C67" s="19">
        <v>6397</v>
      </c>
      <c r="D67" s="19">
        <v>6680</v>
      </c>
      <c r="E67" s="19">
        <v>4942</v>
      </c>
      <c r="F67" s="19">
        <v>5998</v>
      </c>
      <c r="G67" s="19">
        <v>4074</v>
      </c>
      <c r="H67" s="19">
        <v>5552</v>
      </c>
      <c r="I67" s="19">
        <v>4860</v>
      </c>
      <c r="J67" s="19">
        <v>7081</v>
      </c>
      <c r="K67" s="19">
        <v>7639</v>
      </c>
      <c r="L67" s="20">
        <f t="shared" ref="L67:L130" si="1">SUM(B67:K67)</f>
        <v>60923</v>
      </c>
    </row>
    <row r="68" spans="1:12" ht="19.8" x14ac:dyDescent="0.3">
      <c r="A68" s="18">
        <v>45750</v>
      </c>
      <c r="B68" s="19">
        <v>5831</v>
      </c>
      <c r="C68" s="19">
        <v>6363</v>
      </c>
      <c r="D68" s="19">
        <v>4753</v>
      </c>
      <c r="E68" s="19">
        <v>4332</v>
      </c>
      <c r="F68" s="19">
        <v>5118</v>
      </c>
      <c r="G68" s="19">
        <v>7787</v>
      </c>
      <c r="H68" s="19">
        <v>7423</v>
      </c>
      <c r="I68" s="19">
        <v>6662</v>
      </c>
      <c r="J68" s="19">
        <v>7968</v>
      </c>
      <c r="K68" s="19">
        <v>5494</v>
      </c>
      <c r="L68" s="20">
        <f t="shared" si="1"/>
        <v>61731</v>
      </c>
    </row>
    <row r="69" spans="1:12" ht="19.8" x14ac:dyDescent="0.3">
      <c r="A69" s="18">
        <v>45751</v>
      </c>
      <c r="B69" s="19">
        <v>7456</v>
      </c>
      <c r="C69" s="19">
        <v>5189</v>
      </c>
      <c r="D69" s="19">
        <v>4606</v>
      </c>
      <c r="E69" s="19">
        <v>5715</v>
      </c>
      <c r="F69" s="19">
        <v>7976</v>
      </c>
      <c r="G69" s="19">
        <v>6017</v>
      </c>
      <c r="H69" s="19">
        <v>5979</v>
      </c>
      <c r="I69" s="19">
        <v>7228</v>
      </c>
      <c r="J69" s="19">
        <v>4008</v>
      </c>
      <c r="K69" s="19">
        <v>4918</v>
      </c>
      <c r="L69" s="20">
        <f t="shared" si="1"/>
        <v>59092</v>
      </c>
    </row>
    <row r="70" spans="1:12" ht="19.8" x14ac:dyDescent="0.3">
      <c r="A70" s="18">
        <v>45754</v>
      </c>
      <c r="B70" s="19">
        <v>5059</v>
      </c>
      <c r="C70" s="19">
        <v>4451</v>
      </c>
      <c r="D70" s="19">
        <v>4096</v>
      </c>
      <c r="E70" s="19">
        <v>7634</v>
      </c>
      <c r="F70" s="19">
        <v>5469</v>
      </c>
      <c r="G70" s="19">
        <v>4236</v>
      </c>
      <c r="H70" s="19">
        <v>4736</v>
      </c>
      <c r="I70" s="19">
        <v>4381</v>
      </c>
      <c r="J70" s="19">
        <v>6914</v>
      </c>
      <c r="K70" s="19">
        <v>5814</v>
      </c>
      <c r="L70" s="20">
        <f t="shared" si="1"/>
        <v>52790</v>
      </c>
    </row>
    <row r="71" spans="1:12" ht="19.8" x14ac:dyDescent="0.3">
      <c r="A71" s="18">
        <v>45755</v>
      </c>
      <c r="B71" s="19">
        <v>5952</v>
      </c>
      <c r="C71" s="19">
        <v>6632</v>
      </c>
      <c r="D71" s="19">
        <v>6054</v>
      </c>
      <c r="E71" s="19">
        <v>7285</v>
      </c>
      <c r="F71" s="19">
        <v>5490</v>
      </c>
      <c r="G71" s="19">
        <v>6610</v>
      </c>
      <c r="H71" s="19">
        <v>5385</v>
      </c>
      <c r="I71" s="19">
        <v>6642</v>
      </c>
      <c r="J71" s="19">
        <v>4632</v>
      </c>
      <c r="K71" s="19">
        <v>5458</v>
      </c>
      <c r="L71" s="20">
        <f t="shared" si="1"/>
        <v>60140</v>
      </c>
    </row>
    <row r="72" spans="1:12" ht="19.8" x14ac:dyDescent="0.3">
      <c r="A72" s="18">
        <v>45756</v>
      </c>
      <c r="B72" s="19">
        <v>6714</v>
      </c>
      <c r="C72" s="19">
        <v>4289</v>
      </c>
      <c r="D72" s="19">
        <v>5386</v>
      </c>
      <c r="E72" s="19">
        <v>4091</v>
      </c>
      <c r="F72" s="19">
        <v>4023</v>
      </c>
      <c r="G72" s="19">
        <v>5169</v>
      </c>
      <c r="H72" s="19">
        <v>7514</v>
      </c>
      <c r="I72" s="19">
        <v>4594</v>
      </c>
      <c r="J72" s="19">
        <v>7976</v>
      </c>
      <c r="K72" s="19">
        <v>4302</v>
      </c>
      <c r="L72" s="20">
        <f t="shared" si="1"/>
        <v>54058</v>
      </c>
    </row>
    <row r="73" spans="1:12" ht="19.8" x14ac:dyDescent="0.3">
      <c r="A73" s="18">
        <v>45757</v>
      </c>
      <c r="B73" s="19">
        <v>4075</v>
      </c>
      <c r="C73" s="19">
        <v>4934</v>
      </c>
      <c r="D73" s="19">
        <v>6443</v>
      </c>
      <c r="E73" s="19">
        <v>6596</v>
      </c>
      <c r="F73" s="19">
        <v>6437</v>
      </c>
      <c r="G73" s="19">
        <v>6255</v>
      </c>
      <c r="H73" s="19">
        <v>7896</v>
      </c>
      <c r="I73" s="19">
        <v>4589</v>
      </c>
      <c r="J73" s="19">
        <v>6655</v>
      </c>
      <c r="K73" s="19">
        <v>7422</v>
      </c>
      <c r="L73" s="20">
        <f t="shared" si="1"/>
        <v>61302</v>
      </c>
    </row>
    <row r="74" spans="1:12" ht="19.8" x14ac:dyDescent="0.3">
      <c r="A74" s="18">
        <v>45758</v>
      </c>
      <c r="B74" s="19">
        <v>6948</v>
      </c>
      <c r="C74" s="19">
        <v>5585</v>
      </c>
      <c r="D74" s="19">
        <v>6615</v>
      </c>
      <c r="E74" s="19">
        <v>5337</v>
      </c>
      <c r="F74" s="19">
        <v>5913</v>
      </c>
      <c r="G74" s="19">
        <v>4395</v>
      </c>
      <c r="H74" s="19">
        <v>7025</v>
      </c>
      <c r="I74" s="19">
        <v>5059</v>
      </c>
      <c r="J74" s="19">
        <v>7683</v>
      </c>
      <c r="K74" s="19">
        <v>6728</v>
      </c>
      <c r="L74" s="20">
        <f t="shared" si="1"/>
        <v>61288</v>
      </c>
    </row>
    <row r="75" spans="1:12" ht="19.8" x14ac:dyDescent="0.3">
      <c r="A75" s="18">
        <v>45761</v>
      </c>
      <c r="B75" s="19">
        <v>5987</v>
      </c>
      <c r="C75" s="19">
        <v>5041</v>
      </c>
      <c r="D75" s="19">
        <v>6571</v>
      </c>
      <c r="E75" s="19">
        <v>7418</v>
      </c>
      <c r="F75" s="19">
        <v>4480</v>
      </c>
      <c r="G75" s="19">
        <v>7349</v>
      </c>
      <c r="H75" s="19">
        <v>6685</v>
      </c>
      <c r="I75" s="19">
        <v>5604</v>
      </c>
      <c r="J75" s="19">
        <v>4966</v>
      </c>
      <c r="K75" s="19">
        <v>4277</v>
      </c>
      <c r="L75" s="20">
        <f t="shared" si="1"/>
        <v>58378</v>
      </c>
    </row>
    <row r="76" spans="1:12" ht="19.8" x14ac:dyDescent="0.3">
      <c r="A76" s="18">
        <v>45762</v>
      </c>
      <c r="B76" s="19">
        <v>5220</v>
      </c>
      <c r="C76" s="19">
        <v>6337</v>
      </c>
      <c r="D76" s="19">
        <v>7775</v>
      </c>
      <c r="E76" s="19">
        <v>6942</v>
      </c>
      <c r="F76" s="19">
        <v>7710</v>
      </c>
      <c r="G76" s="19">
        <v>4038</v>
      </c>
      <c r="H76" s="19">
        <v>6367</v>
      </c>
      <c r="I76" s="19">
        <v>4951</v>
      </c>
      <c r="J76" s="19">
        <v>4346</v>
      </c>
      <c r="K76" s="19">
        <v>6228</v>
      </c>
      <c r="L76" s="20">
        <f t="shared" si="1"/>
        <v>59914</v>
      </c>
    </row>
    <row r="77" spans="1:12" ht="19.8" x14ac:dyDescent="0.3">
      <c r="A77" s="18">
        <v>45763</v>
      </c>
      <c r="B77" s="19">
        <v>5600</v>
      </c>
      <c r="C77" s="19">
        <v>5967</v>
      </c>
      <c r="D77" s="19">
        <v>7728</v>
      </c>
      <c r="E77" s="19">
        <v>4953</v>
      </c>
      <c r="F77" s="19">
        <v>6965</v>
      </c>
      <c r="G77" s="19">
        <v>4498</v>
      </c>
      <c r="H77" s="19">
        <v>5666</v>
      </c>
      <c r="I77" s="19">
        <v>7745</v>
      </c>
      <c r="J77" s="19">
        <v>7712</v>
      </c>
      <c r="K77" s="19">
        <v>7265</v>
      </c>
      <c r="L77" s="20">
        <f t="shared" si="1"/>
        <v>64099</v>
      </c>
    </row>
    <row r="78" spans="1:12" ht="19.8" x14ac:dyDescent="0.3">
      <c r="A78" s="18">
        <v>45764</v>
      </c>
      <c r="B78" s="19">
        <v>7672</v>
      </c>
      <c r="C78" s="19">
        <v>5754</v>
      </c>
      <c r="D78" s="19">
        <v>6342</v>
      </c>
      <c r="E78" s="19">
        <v>5341</v>
      </c>
      <c r="F78" s="19">
        <v>5139</v>
      </c>
      <c r="G78" s="19">
        <v>7782</v>
      </c>
      <c r="H78" s="19">
        <v>4583</v>
      </c>
      <c r="I78" s="19">
        <v>6164</v>
      </c>
      <c r="J78" s="19">
        <v>6483</v>
      </c>
      <c r="K78" s="19">
        <v>7357</v>
      </c>
      <c r="L78" s="20">
        <f t="shared" si="1"/>
        <v>62617</v>
      </c>
    </row>
    <row r="79" spans="1:12" ht="19.8" x14ac:dyDescent="0.3">
      <c r="A79" s="18">
        <v>45765</v>
      </c>
      <c r="B79" s="19">
        <v>6774</v>
      </c>
      <c r="C79" s="19">
        <v>5224</v>
      </c>
      <c r="D79" s="19">
        <v>6691</v>
      </c>
      <c r="E79" s="19">
        <v>6015</v>
      </c>
      <c r="F79" s="19">
        <v>5276</v>
      </c>
      <c r="G79" s="19">
        <v>4361</v>
      </c>
      <c r="H79" s="19">
        <v>4301</v>
      </c>
      <c r="I79" s="19">
        <v>5921</v>
      </c>
      <c r="J79" s="19">
        <v>6327</v>
      </c>
      <c r="K79" s="19">
        <v>5056</v>
      </c>
      <c r="L79" s="20">
        <f t="shared" si="1"/>
        <v>55946</v>
      </c>
    </row>
    <row r="80" spans="1:12" ht="19.8" x14ac:dyDescent="0.3">
      <c r="A80" s="18">
        <v>45766</v>
      </c>
      <c r="B80" s="19">
        <v>6062.5982142857101</v>
      </c>
      <c r="C80" s="19">
        <v>5863.1755952381</v>
      </c>
      <c r="D80" s="19">
        <v>6065.59375</v>
      </c>
      <c r="E80" s="19">
        <v>6048.0610119047597</v>
      </c>
      <c r="F80" s="19">
        <v>5878.9226190476202</v>
      </c>
      <c r="G80" s="19">
        <v>5926.8065476190504</v>
      </c>
      <c r="H80" s="19">
        <v>5672.2782738095202</v>
      </c>
      <c r="I80" s="19">
        <v>6135.2886904761899</v>
      </c>
      <c r="J80" s="19">
        <v>6161.3065476190504</v>
      </c>
      <c r="K80" s="19">
        <v>5969.1994047619</v>
      </c>
      <c r="L80" s="20">
        <f t="shared" si="1"/>
        <v>59783.230654761908</v>
      </c>
    </row>
    <row r="81" spans="1:12" ht="19.8" x14ac:dyDescent="0.3">
      <c r="A81" s="18">
        <v>45767</v>
      </c>
      <c r="B81" s="19">
        <v>6059.9887362637401</v>
      </c>
      <c r="C81" s="19">
        <v>5854.98484432234</v>
      </c>
      <c r="D81" s="19">
        <v>6068.8201923076904</v>
      </c>
      <c r="E81" s="19">
        <v>6047.9186584249101</v>
      </c>
      <c r="F81" s="19">
        <v>5872.2553342490801</v>
      </c>
      <c r="G81" s="19">
        <v>5929.6563644688604</v>
      </c>
      <c r="H81" s="19">
        <v>5664.0930860805902</v>
      </c>
      <c r="I81" s="19">
        <v>6142.0519001831499</v>
      </c>
      <c r="J81" s="19">
        <v>6163.5914606227097</v>
      </c>
      <c r="K81" s="19">
        <v>5963.0238095238101</v>
      </c>
      <c r="L81" s="20">
        <f t="shared" si="1"/>
        <v>59766.384386446873</v>
      </c>
    </row>
    <row r="82" spans="1:12" ht="19.8" x14ac:dyDescent="0.3">
      <c r="A82" s="18">
        <v>45768</v>
      </c>
      <c r="B82" s="19">
        <v>6057.37925824176</v>
      </c>
      <c r="C82" s="19">
        <v>5846.79409340659</v>
      </c>
      <c r="D82" s="19">
        <v>6072.0466346153798</v>
      </c>
      <c r="E82" s="19">
        <v>6047.7763049450596</v>
      </c>
      <c r="F82" s="19">
        <v>5865.58804945055</v>
      </c>
      <c r="G82" s="19">
        <v>5932.5061813186803</v>
      </c>
      <c r="H82" s="19">
        <v>5655.9078983516501</v>
      </c>
      <c r="I82" s="19">
        <v>6148.8151098901099</v>
      </c>
      <c r="J82" s="19">
        <v>6165.87637362637</v>
      </c>
      <c r="K82" s="19">
        <v>5956.8482142857101</v>
      </c>
      <c r="L82" s="20">
        <f t="shared" si="1"/>
        <v>59749.538118131866</v>
      </c>
    </row>
    <row r="83" spans="1:12" ht="19.8" x14ac:dyDescent="0.3">
      <c r="A83" s="18">
        <v>45769</v>
      </c>
      <c r="B83" s="19">
        <v>6054.7697802197799</v>
      </c>
      <c r="C83" s="19">
        <v>5838.6033424908401</v>
      </c>
      <c r="D83" s="19">
        <v>6075.2730769230802</v>
      </c>
      <c r="E83" s="19">
        <v>6047.6339514652</v>
      </c>
      <c r="F83" s="19">
        <v>5858.9207646520199</v>
      </c>
      <c r="G83" s="19">
        <v>5935.3559981685003</v>
      </c>
      <c r="H83" s="19">
        <v>5647.7227106227101</v>
      </c>
      <c r="I83" s="19">
        <v>6155.5783195970698</v>
      </c>
      <c r="J83" s="19">
        <v>6168.1612866300402</v>
      </c>
      <c r="K83" s="19">
        <v>5950.6726190476202</v>
      </c>
      <c r="L83" s="20">
        <f t="shared" si="1"/>
        <v>59732.69184981686</v>
      </c>
    </row>
    <row r="84" spans="1:12" ht="19.8" x14ac:dyDescent="0.3">
      <c r="A84" s="18">
        <v>45770</v>
      </c>
      <c r="B84" s="19">
        <v>6052.1603021977999</v>
      </c>
      <c r="C84" s="19">
        <v>5830.4125915750901</v>
      </c>
      <c r="D84" s="19">
        <v>6078.4995192307697</v>
      </c>
      <c r="E84" s="19">
        <v>6047.4915979853504</v>
      </c>
      <c r="F84" s="19">
        <v>5852.2534798534798</v>
      </c>
      <c r="G84" s="19">
        <v>5938.2058150183202</v>
      </c>
      <c r="H84" s="19">
        <v>5639.5375228937701</v>
      </c>
      <c r="I84" s="19">
        <v>6162.3415293040298</v>
      </c>
      <c r="J84" s="19">
        <v>6170.4461996337004</v>
      </c>
      <c r="K84" s="19">
        <v>5944.4970238095202</v>
      </c>
      <c r="L84" s="20">
        <f t="shared" si="1"/>
        <v>59715.845581501824</v>
      </c>
    </row>
    <row r="85" spans="1:12" ht="19.8" x14ac:dyDescent="0.3">
      <c r="A85" s="18">
        <v>45771</v>
      </c>
      <c r="B85" s="19">
        <v>6049.5508241758198</v>
      </c>
      <c r="C85" s="19">
        <v>5822.2218406593402</v>
      </c>
      <c r="D85" s="19">
        <v>6081.7259615384601</v>
      </c>
      <c r="E85" s="19">
        <v>6047.3492445054999</v>
      </c>
      <c r="F85" s="19">
        <v>5845.5861950549497</v>
      </c>
      <c r="G85" s="19">
        <v>5941.0556318681301</v>
      </c>
      <c r="H85" s="19">
        <v>5631.35233516483</v>
      </c>
      <c r="I85" s="19">
        <v>6169.1047390109898</v>
      </c>
      <c r="J85" s="19">
        <v>6172.7311126373597</v>
      </c>
      <c r="K85" s="19">
        <v>5938.3214285714303</v>
      </c>
      <c r="L85" s="20">
        <f t="shared" si="1"/>
        <v>59698.99931318681</v>
      </c>
    </row>
    <row r="86" spans="1:12" ht="19.8" x14ac:dyDescent="0.3">
      <c r="A86" s="18">
        <v>45772</v>
      </c>
      <c r="B86" s="19">
        <v>6046.9413461538497</v>
      </c>
      <c r="C86" s="19">
        <v>5814.0310897435902</v>
      </c>
      <c r="D86" s="19">
        <v>6084.9524038461504</v>
      </c>
      <c r="E86" s="19">
        <v>6047.2068910256403</v>
      </c>
      <c r="F86" s="19">
        <v>5838.9189102564096</v>
      </c>
      <c r="G86" s="19">
        <v>5943.9054487179501</v>
      </c>
      <c r="H86" s="19">
        <v>5623.1671474359</v>
      </c>
      <c r="I86" s="19">
        <v>6175.8679487179497</v>
      </c>
      <c r="J86" s="19">
        <v>6175.01602564103</v>
      </c>
      <c r="K86" s="19">
        <v>5932.1458333333303</v>
      </c>
      <c r="L86" s="20">
        <f t="shared" si="1"/>
        <v>59682.153044871797</v>
      </c>
    </row>
    <row r="87" spans="1:12" ht="19.8" x14ac:dyDescent="0.3">
      <c r="A87" s="18">
        <v>45773</v>
      </c>
      <c r="B87" s="19">
        <v>6044.3318681318697</v>
      </c>
      <c r="C87" s="19">
        <v>5805.8403388278402</v>
      </c>
      <c r="D87" s="19">
        <v>6088.1788461538499</v>
      </c>
      <c r="E87" s="19">
        <v>6047.0645375457898</v>
      </c>
      <c r="F87" s="19">
        <v>5832.2516254578804</v>
      </c>
      <c r="G87" s="19">
        <v>5946.75526556777</v>
      </c>
      <c r="H87" s="19">
        <v>5614.98195970696</v>
      </c>
      <c r="I87" s="19">
        <v>6182.6311584249097</v>
      </c>
      <c r="J87" s="19">
        <v>6177.3009386446902</v>
      </c>
      <c r="K87" s="19">
        <v>5925.9702380952403</v>
      </c>
      <c r="L87" s="20">
        <f t="shared" si="1"/>
        <v>59665.306776556798</v>
      </c>
    </row>
    <row r="88" spans="1:12" ht="19.8" x14ac:dyDescent="0.3">
      <c r="A88" s="18">
        <v>45774</v>
      </c>
      <c r="B88" s="19">
        <v>6041.7223901098896</v>
      </c>
      <c r="C88" s="19">
        <v>5797.6495879120903</v>
      </c>
      <c r="D88" s="19">
        <v>6091.4052884615403</v>
      </c>
      <c r="E88" s="19">
        <v>6046.9221840659302</v>
      </c>
      <c r="F88" s="19">
        <v>5825.5843406593403</v>
      </c>
      <c r="G88" s="19">
        <v>5949.60508241758</v>
      </c>
      <c r="H88" s="19">
        <v>5606.7967719780199</v>
      </c>
      <c r="I88" s="19">
        <v>6189.3943681318697</v>
      </c>
      <c r="J88" s="19">
        <v>6179.5858516483504</v>
      </c>
      <c r="K88" s="19">
        <v>5919.7946428571404</v>
      </c>
      <c r="L88" s="20">
        <f t="shared" si="1"/>
        <v>59648.460508241755</v>
      </c>
    </row>
    <row r="89" spans="1:12" ht="19.8" x14ac:dyDescent="0.3">
      <c r="A89" s="18">
        <v>45775</v>
      </c>
      <c r="B89" s="19">
        <v>6039.1129120879104</v>
      </c>
      <c r="C89" s="19">
        <v>5789.4588369963403</v>
      </c>
      <c r="D89" s="19">
        <v>6094.6317307692298</v>
      </c>
      <c r="E89" s="19">
        <v>6046.7798305860797</v>
      </c>
      <c r="F89" s="19">
        <v>5818.9170558608103</v>
      </c>
      <c r="G89" s="19">
        <v>5952.4548992673999</v>
      </c>
      <c r="H89" s="19">
        <v>5598.6115842490799</v>
      </c>
      <c r="I89" s="19">
        <v>6196.1575778388296</v>
      </c>
      <c r="J89" s="19">
        <v>6181.8707646520097</v>
      </c>
      <c r="K89" s="19">
        <v>5913.6190476190504</v>
      </c>
      <c r="L89" s="20">
        <f t="shared" si="1"/>
        <v>59631.614239926741</v>
      </c>
    </row>
    <row r="90" spans="1:12" ht="19.8" x14ac:dyDescent="0.3">
      <c r="A90" s="18">
        <v>45776</v>
      </c>
      <c r="B90" s="19">
        <v>6036.5034340659304</v>
      </c>
      <c r="C90" s="19">
        <v>5781.2680860805904</v>
      </c>
      <c r="D90" s="19">
        <v>6097.8581730769201</v>
      </c>
      <c r="E90" s="19">
        <v>6046.6374771062301</v>
      </c>
      <c r="F90" s="19">
        <v>5812.2497710622702</v>
      </c>
      <c r="G90" s="19">
        <v>5955.3047161172199</v>
      </c>
      <c r="H90" s="19">
        <v>5590.4263965201499</v>
      </c>
      <c r="I90" s="19">
        <v>6202.9207875457896</v>
      </c>
      <c r="J90" s="19">
        <v>6184.1556776556799</v>
      </c>
      <c r="K90" s="19">
        <v>5907.4434523809496</v>
      </c>
      <c r="L90" s="20">
        <f t="shared" si="1"/>
        <v>59614.76797161172</v>
      </c>
    </row>
    <row r="91" spans="1:12" ht="19.8" x14ac:dyDescent="0.3">
      <c r="A91" s="18">
        <v>45777</v>
      </c>
      <c r="B91" s="19">
        <v>6033.8939560439503</v>
      </c>
      <c r="C91" s="19">
        <v>5773.0773351648404</v>
      </c>
      <c r="D91" s="19">
        <v>6101.0846153846196</v>
      </c>
      <c r="E91" s="19">
        <v>6046.4951236263696</v>
      </c>
      <c r="F91" s="19">
        <v>5805.5824862637401</v>
      </c>
      <c r="G91" s="19">
        <v>5958.1545329670298</v>
      </c>
      <c r="H91" s="19">
        <v>5582.2412087912098</v>
      </c>
      <c r="I91" s="19">
        <v>6209.6839972527496</v>
      </c>
      <c r="J91" s="19">
        <v>6186.4405906593402</v>
      </c>
      <c r="K91" s="19">
        <v>5901.2678571428596</v>
      </c>
      <c r="L91" s="20">
        <f t="shared" si="1"/>
        <v>59597.921703296714</v>
      </c>
    </row>
    <row r="92" spans="1:12" ht="19.8" x14ac:dyDescent="0.3">
      <c r="A92" s="18">
        <v>45778</v>
      </c>
      <c r="B92" s="19">
        <v>6031.2844780219802</v>
      </c>
      <c r="C92" s="19">
        <v>5764.8865842490804</v>
      </c>
      <c r="D92" s="19">
        <v>6104.31105769231</v>
      </c>
      <c r="E92" s="19">
        <v>6046.35277014652</v>
      </c>
      <c r="F92" s="19">
        <v>5798.9152014652</v>
      </c>
      <c r="G92" s="19">
        <v>5961.0043498168498</v>
      </c>
      <c r="H92" s="19">
        <v>5574.0560210622698</v>
      </c>
      <c r="I92" s="19">
        <v>6216.4472069597095</v>
      </c>
      <c r="J92" s="19">
        <v>6188.7255036630004</v>
      </c>
      <c r="K92" s="19">
        <v>5895.0922619047597</v>
      </c>
      <c r="L92" s="20">
        <f t="shared" si="1"/>
        <v>59581.075434981685</v>
      </c>
    </row>
    <row r="93" spans="1:12" ht="19.8" x14ac:dyDescent="0.3">
      <c r="A93" s="18">
        <v>45779</v>
      </c>
      <c r="B93" s="19">
        <v>6028.6750000000002</v>
      </c>
      <c r="C93" s="19">
        <v>5756.6958333333296</v>
      </c>
      <c r="D93" s="19">
        <v>6107.5375000000004</v>
      </c>
      <c r="E93" s="19">
        <v>6046.2104166666704</v>
      </c>
      <c r="F93" s="19">
        <v>5792.2479166666699</v>
      </c>
      <c r="G93" s="19">
        <v>5963.8541666666697</v>
      </c>
      <c r="H93" s="19">
        <v>5565.8708333333298</v>
      </c>
      <c r="I93" s="19">
        <v>6223.2104166666704</v>
      </c>
      <c r="J93" s="19">
        <v>6191.0104166666697</v>
      </c>
      <c r="K93" s="19">
        <v>5888.9166666666697</v>
      </c>
      <c r="L93" s="20">
        <f t="shared" si="1"/>
        <v>59564.229166666679</v>
      </c>
    </row>
    <row r="94" spans="1:12" ht="19.8" x14ac:dyDescent="0.3">
      <c r="A94" s="18">
        <v>45780</v>
      </c>
      <c r="B94" s="19">
        <v>6026.0655219780201</v>
      </c>
      <c r="C94" s="19">
        <v>5748.5050824175796</v>
      </c>
      <c r="D94" s="19">
        <v>6110.7639423076898</v>
      </c>
      <c r="E94" s="19">
        <v>6046.0680631868099</v>
      </c>
      <c r="F94" s="19">
        <v>5785.5806318681298</v>
      </c>
      <c r="G94" s="19">
        <v>5966.7039835164796</v>
      </c>
      <c r="H94" s="19">
        <v>5557.6856456043997</v>
      </c>
      <c r="I94" s="19">
        <v>6229.9736263736304</v>
      </c>
      <c r="J94" s="19">
        <v>6193.2953296703299</v>
      </c>
      <c r="K94" s="19">
        <v>5882.7410714285697</v>
      </c>
      <c r="L94" s="20">
        <f t="shared" si="1"/>
        <v>59547.382898351643</v>
      </c>
    </row>
    <row r="95" spans="1:12" ht="19.8" x14ac:dyDescent="0.3">
      <c r="A95" s="18">
        <v>45781</v>
      </c>
      <c r="B95" s="19">
        <v>6023.45604395604</v>
      </c>
      <c r="C95" s="19">
        <v>5740.3143315018297</v>
      </c>
      <c r="D95" s="19">
        <v>6113.9903846153802</v>
      </c>
      <c r="E95" s="19">
        <v>6045.9257097069603</v>
      </c>
      <c r="F95" s="19">
        <v>5778.9133470695997</v>
      </c>
      <c r="G95" s="19">
        <v>5969.5538003662996</v>
      </c>
      <c r="H95" s="19">
        <v>5549.5004578754597</v>
      </c>
      <c r="I95" s="19">
        <v>6236.7368360805904</v>
      </c>
      <c r="J95" s="19">
        <v>6195.5802426739901</v>
      </c>
      <c r="K95" s="19">
        <v>5876.5654761904798</v>
      </c>
      <c r="L95" s="20">
        <f t="shared" si="1"/>
        <v>59530.53663003663</v>
      </c>
    </row>
    <row r="96" spans="1:12" ht="19.8" x14ac:dyDescent="0.3">
      <c r="A96" s="18">
        <v>45782</v>
      </c>
      <c r="B96" s="19">
        <v>6020.84656593407</v>
      </c>
      <c r="C96" s="19">
        <v>5732.1235805860797</v>
      </c>
      <c r="D96" s="19">
        <v>6117.2168269230797</v>
      </c>
      <c r="E96" s="19">
        <v>6045.7833562271098</v>
      </c>
      <c r="F96" s="19">
        <v>5772.2460622710596</v>
      </c>
      <c r="G96" s="19">
        <v>5972.4036172161204</v>
      </c>
      <c r="H96" s="19">
        <v>5541.3152701465197</v>
      </c>
      <c r="I96" s="19">
        <v>6243.5000457875403</v>
      </c>
      <c r="J96" s="19">
        <v>6197.8651556776504</v>
      </c>
      <c r="K96" s="19">
        <v>5870.3898809523798</v>
      </c>
      <c r="L96" s="20">
        <f t="shared" si="1"/>
        <v>59513.690361721616</v>
      </c>
    </row>
    <row r="97" spans="1:12" ht="19.8" x14ac:dyDescent="0.3">
      <c r="A97" s="18">
        <v>45783</v>
      </c>
      <c r="B97" s="19">
        <v>6018.2370879120899</v>
      </c>
      <c r="C97" s="19">
        <v>5723.9328296703297</v>
      </c>
      <c r="D97" s="19">
        <v>6120.4432692307701</v>
      </c>
      <c r="E97" s="19">
        <v>6045.6410027472502</v>
      </c>
      <c r="F97" s="19">
        <v>5765.5787774725304</v>
      </c>
      <c r="G97" s="19">
        <v>5975.2534340659304</v>
      </c>
      <c r="H97" s="19">
        <v>5533.1300824175796</v>
      </c>
      <c r="I97" s="19">
        <v>6250.2632554945003</v>
      </c>
      <c r="J97" s="19">
        <v>6200.1500686813197</v>
      </c>
      <c r="K97" s="19">
        <v>5864.2142857142899</v>
      </c>
      <c r="L97" s="20">
        <f t="shared" si="1"/>
        <v>59496.844093406587</v>
      </c>
    </row>
    <row r="98" spans="1:12" ht="19.8" x14ac:dyDescent="0.3">
      <c r="A98" s="18">
        <v>45784</v>
      </c>
      <c r="B98" s="19">
        <v>6015.6276098901099</v>
      </c>
      <c r="C98" s="19">
        <v>5715.7420787545798</v>
      </c>
      <c r="D98" s="19">
        <v>6123.6697115384604</v>
      </c>
      <c r="E98" s="19">
        <v>6045.4986492673997</v>
      </c>
      <c r="F98" s="19">
        <v>5758.9114926739903</v>
      </c>
      <c r="G98" s="19">
        <v>5978.1032509157503</v>
      </c>
      <c r="H98" s="19">
        <v>5524.9448946886496</v>
      </c>
      <c r="I98" s="19">
        <v>6257.0264652014603</v>
      </c>
      <c r="J98" s="19">
        <v>6202.4349816849799</v>
      </c>
      <c r="K98" s="19">
        <v>5858.0386904761899</v>
      </c>
      <c r="L98" s="20">
        <f t="shared" si="1"/>
        <v>59479.997825091566</v>
      </c>
    </row>
    <row r="99" spans="1:12" ht="19.8" x14ac:dyDescent="0.3">
      <c r="A99" s="18">
        <v>45785</v>
      </c>
      <c r="B99" s="19">
        <v>6013.0181318681298</v>
      </c>
      <c r="C99" s="19">
        <v>5707.5513278388298</v>
      </c>
      <c r="D99" s="19">
        <v>6126.8961538461499</v>
      </c>
      <c r="E99" s="19">
        <v>6045.3562957875502</v>
      </c>
      <c r="F99" s="19">
        <v>5752.2442078754602</v>
      </c>
      <c r="G99" s="19">
        <v>5980.9530677655703</v>
      </c>
      <c r="H99" s="19">
        <v>5516.7597069597095</v>
      </c>
      <c r="I99" s="19">
        <v>6263.7896749084202</v>
      </c>
      <c r="J99" s="19">
        <v>6204.7198946886401</v>
      </c>
      <c r="K99" s="19">
        <v>5851.8630952381</v>
      </c>
      <c r="L99" s="20">
        <f t="shared" si="1"/>
        <v>59463.15155677656</v>
      </c>
    </row>
    <row r="100" spans="1:12" ht="19.8" x14ac:dyDescent="0.3">
      <c r="A100" s="18">
        <v>45786</v>
      </c>
      <c r="B100" s="19">
        <v>6010.4086538461497</v>
      </c>
      <c r="C100" s="19">
        <v>5699.3605769230799</v>
      </c>
      <c r="D100" s="19">
        <v>6130.1225961538503</v>
      </c>
      <c r="E100" s="19">
        <v>6045.2139423076896</v>
      </c>
      <c r="F100" s="19">
        <v>5745.5769230769201</v>
      </c>
      <c r="G100" s="19">
        <v>5983.8028846153802</v>
      </c>
      <c r="H100" s="19">
        <v>5508.5745192307704</v>
      </c>
      <c r="I100" s="19">
        <v>6270.5528846153802</v>
      </c>
      <c r="J100" s="19">
        <v>6207.0048076923104</v>
      </c>
      <c r="K100" s="19">
        <v>5845.6875</v>
      </c>
      <c r="L100" s="20">
        <f t="shared" si="1"/>
        <v>59446.305288461546</v>
      </c>
    </row>
    <row r="101" spans="1:12" ht="19.8" x14ac:dyDescent="0.3">
      <c r="A101" s="18">
        <v>45787</v>
      </c>
      <c r="B101" s="19">
        <v>6007.7991758241797</v>
      </c>
      <c r="C101" s="19">
        <v>5691.1698260073299</v>
      </c>
      <c r="D101" s="19">
        <v>6133.3490384615397</v>
      </c>
      <c r="E101" s="19">
        <v>6045.0715888278401</v>
      </c>
      <c r="F101" s="19">
        <v>5738.90963827839</v>
      </c>
      <c r="G101" s="19">
        <v>5986.6527014652002</v>
      </c>
      <c r="H101" s="19">
        <v>5500.3893315018304</v>
      </c>
      <c r="I101" s="19">
        <v>6277.3160943223402</v>
      </c>
      <c r="J101" s="19">
        <v>6209.2897206959697</v>
      </c>
      <c r="K101" s="19">
        <v>5839.5119047619</v>
      </c>
      <c r="L101" s="20">
        <f t="shared" si="1"/>
        <v>59429.459020146518</v>
      </c>
    </row>
    <row r="102" spans="1:12" ht="19.8" x14ac:dyDescent="0.3">
      <c r="A102" s="18">
        <v>45788</v>
      </c>
      <c r="B102" s="19">
        <v>6005.1896978021996</v>
      </c>
      <c r="C102" s="19">
        <v>5682.9790750915699</v>
      </c>
      <c r="D102" s="19">
        <v>6136.5754807692301</v>
      </c>
      <c r="E102" s="19">
        <v>6044.9292353479896</v>
      </c>
      <c r="F102" s="19">
        <v>5732.24235347985</v>
      </c>
      <c r="G102" s="19">
        <v>5989.5025183150201</v>
      </c>
      <c r="H102" s="19">
        <v>5492.2041437728903</v>
      </c>
      <c r="I102" s="19">
        <v>6284.0793040293001</v>
      </c>
      <c r="J102" s="19">
        <v>6211.5746336996299</v>
      </c>
      <c r="K102" s="19">
        <v>5833.3363095238101</v>
      </c>
      <c r="L102" s="20">
        <f t="shared" si="1"/>
        <v>59412.61275183149</v>
      </c>
    </row>
    <row r="103" spans="1:12" ht="19.8" x14ac:dyDescent="0.3">
      <c r="A103" s="18">
        <v>45789</v>
      </c>
      <c r="B103" s="19">
        <v>6002.5802197802204</v>
      </c>
      <c r="C103" s="19">
        <v>5674.78832417582</v>
      </c>
      <c r="D103" s="19">
        <v>6139.8019230769196</v>
      </c>
      <c r="E103" s="19">
        <v>6044.78688186813</v>
      </c>
      <c r="F103" s="19">
        <v>5725.5750686813199</v>
      </c>
      <c r="G103" s="19">
        <v>5992.35233516484</v>
      </c>
      <c r="H103" s="19">
        <v>5484.0189560439603</v>
      </c>
      <c r="I103" s="19">
        <v>6290.8425137362601</v>
      </c>
      <c r="J103" s="19">
        <v>6213.8595467033001</v>
      </c>
      <c r="K103" s="19">
        <v>5827.1607142857101</v>
      </c>
      <c r="L103" s="20">
        <f t="shared" si="1"/>
        <v>59395.766483516483</v>
      </c>
    </row>
    <row r="104" spans="1:12" ht="19.8" x14ac:dyDescent="0.3">
      <c r="A104" s="18">
        <v>45790</v>
      </c>
      <c r="B104" s="19">
        <v>5999.9707417582404</v>
      </c>
      <c r="C104" s="19">
        <v>5666.59757326007</v>
      </c>
      <c r="D104" s="19">
        <v>6143.02836538462</v>
      </c>
      <c r="E104" s="19">
        <v>6044.6445283882804</v>
      </c>
      <c r="F104" s="19">
        <v>5718.9077838827798</v>
      </c>
      <c r="G104" s="19">
        <v>5995.20215201465</v>
      </c>
      <c r="H104" s="19">
        <v>5475.8337683150203</v>
      </c>
      <c r="I104" s="19">
        <v>6297.6057234432201</v>
      </c>
      <c r="J104" s="19">
        <v>6216.1444597069603</v>
      </c>
      <c r="K104" s="19">
        <v>5820.9851190476202</v>
      </c>
      <c r="L104" s="20">
        <f t="shared" si="1"/>
        <v>59378.920215201462</v>
      </c>
    </row>
    <row r="105" spans="1:12" ht="19.8" x14ac:dyDescent="0.3">
      <c r="A105" s="18">
        <v>45791</v>
      </c>
      <c r="B105" s="19">
        <v>5997.3612637362603</v>
      </c>
      <c r="C105" s="19">
        <v>5658.4068223443201</v>
      </c>
      <c r="D105" s="19">
        <v>6146.2548076923104</v>
      </c>
      <c r="E105" s="19">
        <v>6044.5021749084299</v>
      </c>
      <c r="F105" s="19">
        <v>5712.2404990842497</v>
      </c>
      <c r="G105" s="19">
        <v>5998.0519688644699</v>
      </c>
      <c r="H105" s="19">
        <v>5467.6485805860802</v>
      </c>
      <c r="I105" s="19">
        <v>6304.3689331501801</v>
      </c>
      <c r="J105" s="19">
        <v>6218.4293727106196</v>
      </c>
      <c r="K105" s="19">
        <v>5814.8095238095202</v>
      </c>
      <c r="L105" s="20">
        <f t="shared" si="1"/>
        <v>59362.073946886441</v>
      </c>
    </row>
    <row r="106" spans="1:12" ht="19.8" x14ac:dyDescent="0.3">
      <c r="A106" s="18">
        <v>45792</v>
      </c>
      <c r="B106" s="19">
        <v>5994.7517857142802</v>
      </c>
      <c r="C106" s="19">
        <v>5650.2160714285701</v>
      </c>
      <c r="D106" s="19">
        <v>6149.4812499999998</v>
      </c>
      <c r="E106" s="19">
        <v>6044.3598214285703</v>
      </c>
      <c r="F106" s="19">
        <v>5705.5732142857096</v>
      </c>
      <c r="G106" s="19">
        <v>6000.9017857142899</v>
      </c>
      <c r="H106" s="19">
        <v>5459.4633928571402</v>
      </c>
      <c r="I106" s="19">
        <v>6311.13214285714</v>
      </c>
      <c r="J106" s="19">
        <v>6220.7142857142899</v>
      </c>
      <c r="K106" s="19">
        <v>5808.6339285714303</v>
      </c>
      <c r="L106" s="20">
        <f t="shared" si="1"/>
        <v>59345.227678571413</v>
      </c>
    </row>
    <row r="107" spans="1:12" ht="19.8" x14ac:dyDescent="0.3">
      <c r="A107" s="18">
        <v>45793</v>
      </c>
      <c r="B107" s="19">
        <v>5992.1423076923102</v>
      </c>
      <c r="C107" s="19">
        <v>5642.0253205128201</v>
      </c>
      <c r="D107" s="19">
        <v>6152.7076923076902</v>
      </c>
      <c r="E107" s="19">
        <v>6044.2174679487198</v>
      </c>
      <c r="F107" s="19">
        <v>5698.9059294871804</v>
      </c>
      <c r="G107" s="19">
        <v>6003.7516025640998</v>
      </c>
      <c r="H107" s="19">
        <v>5451.2782051282002</v>
      </c>
      <c r="I107" s="19">
        <v>6317.8953525641</v>
      </c>
      <c r="J107" s="19">
        <v>6222.9991987179501</v>
      </c>
      <c r="K107" s="19">
        <v>5802.4583333333303</v>
      </c>
      <c r="L107" s="20">
        <f t="shared" si="1"/>
        <v>59328.381410256392</v>
      </c>
    </row>
    <row r="108" spans="1:12" ht="19.8" x14ac:dyDescent="0.3">
      <c r="A108" s="18">
        <v>45794</v>
      </c>
      <c r="B108" s="19">
        <v>5989.5328296703301</v>
      </c>
      <c r="C108" s="19">
        <v>5633.8345695970702</v>
      </c>
      <c r="D108" s="19">
        <v>6155.9341346153797</v>
      </c>
      <c r="E108" s="19">
        <v>6044.0751144688702</v>
      </c>
      <c r="F108" s="19">
        <v>5692.2386446886403</v>
      </c>
      <c r="G108" s="19">
        <v>6006.6014194139198</v>
      </c>
      <c r="H108" s="19">
        <v>5443.0930173992701</v>
      </c>
      <c r="I108" s="19">
        <v>6324.65856227106</v>
      </c>
      <c r="J108" s="19">
        <v>6225.2841117216103</v>
      </c>
      <c r="K108" s="19">
        <v>5796.2827380952403</v>
      </c>
      <c r="L108" s="20">
        <f t="shared" si="1"/>
        <v>59311.535141941393</v>
      </c>
    </row>
    <row r="109" spans="1:12" ht="19.8" x14ac:dyDescent="0.3">
      <c r="A109" s="18">
        <v>45795</v>
      </c>
      <c r="B109" s="19">
        <v>5986.92335164835</v>
      </c>
      <c r="C109" s="19">
        <v>5625.6438186813202</v>
      </c>
      <c r="D109" s="19">
        <v>6159.16057692308</v>
      </c>
      <c r="E109" s="19">
        <v>6043.9327609890097</v>
      </c>
      <c r="F109" s="19">
        <v>5685.5713598901102</v>
      </c>
      <c r="G109" s="19">
        <v>6009.4512362637397</v>
      </c>
      <c r="H109" s="19">
        <v>5434.9078296703301</v>
      </c>
      <c r="I109" s="19">
        <v>6331.4217719780199</v>
      </c>
      <c r="J109" s="19">
        <v>6227.5690247252696</v>
      </c>
      <c r="K109" s="19">
        <v>5790.1071428571404</v>
      </c>
      <c r="L109" s="20">
        <f t="shared" si="1"/>
        <v>59294.688873626365</v>
      </c>
    </row>
    <row r="110" spans="1:12" ht="19.8" x14ac:dyDescent="0.3">
      <c r="A110" s="18">
        <v>45796</v>
      </c>
      <c r="B110" s="19">
        <v>5984.31387362637</v>
      </c>
      <c r="C110" s="19">
        <v>5617.4530677655703</v>
      </c>
      <c r="D110" s="19">
        <v>6162.3870192307704</v>
      </c>
      <c r="E110" s="19">
        <v>6043.7904075091601</v>
      </c>
      <c r="F110" s="19">
        <v>5678.9040750915801</v>
      </c>
      <c r="G110" s="19">
        <v>6012.3010531135496</v>
      </c>
      <c r="H110" s="19">
        <v>5426.7226419413901</v>
      </c>
      <c r="I110" s="19">
        <v>6338.1849816849799</v>
      </c>
      <c r="J110" s="19">
        <v>6229.8539377289399</v>
      </c>
      <c r="K110" s="19">
        <v>5783.9315476190504</v>
      </c>
      <c r="L110" s="20">
        <f t="shared" si="1"/>
        <v>59277.842605311365</v>
      </c>
    </row>
    <row r="111" spans="1:12" ht="19.8" x14ac:dyDescent="0.3">
      <c r="A111" s="18">
        <v>45797</v>
      </c>
      <c r="B111" s="19">
        <v>5981.7043956043999</v>
      </c>
      <c r="C111" s="19">
        <v>5609.2623168498203</v>
      </c>
      <c r="D111" s="19">
        <v>6165.6134615384599</v>
      </c>
      <c r="E111" s="19">
        <v>6043.6480540293096</v>
      </c>
      <c r="F111" s="19">
        <v>5672.23679029304</v>
      </c>
      <c r="G111" s="19">
        <v>6015.1508699633696</v>
      </c>
      <c r="H111" s="19">
        <v>5418.53745421245</v>
      </c>
      <c r="I111" s="19">
        <v>6344.9481913919399</v>
      </c>
      <c r="J111" s="19">
        <v>6232.1388507326001</v>
      </c>
      <c r="K111" s="19">
        <v>5777.7559523809496</v>
      </c>
      <c r="L111" s="20">
        <f t="shared" si="1"/>
        <v>59260.99633699633</v>
      </c>
    </row>
    <row r="112" spans="1:12" ht="19.8" x14ac:dyDescent="0.3">
      <c r="A112" s="18">
        <v>45798</v>
      </c>
      <c r="B112" s="19">
        <v>5979.0949175824198</v>
      </c>
      <c r="C112" s="19">
        <v>5601.0715659340703</v>
      </c>
      <c r="D112" s="19">
        <v>6168.8399038461503</v>
      </c>
      <c r="E112" s="19">
        <v>6043.50570054945</v>
      </c>
      <c r="F112" s="19">
        <v>5665.5695054945099</v>
      </c>
      <c r="G112" s="19">
        <v>6018.0006868131904</v>
      </c>
      <c r="H112" s="19">
        <v>5410.35226648352</v>
      </c>
      <c r="I112" s="19">
        <v>6351.7114010988998</v>
      </c>
      <c r="J112" s="19">
        <v>6234.4237637362603</v>
      </c>
      <c r="K112" s="19">
        <v>5771.5803571428596</v>
      </c>
      <c r="L112" s="20">
        <f t="shared" si="1"/>
        <v>59244.150068681338</v>
      </c>
    </row>
    <row r="113" spans="1:12" ht="19.8" x14ac:dyDescent="0.3">
      <c r="A113" s="18">
        <v>45799</v>
      </c>
      <c r="B113" s="19">
        <v>5976.4854395604398</v>
      </c>
      <c r="C113" s="19">
        <v>5592.8808150183104</v>
      </c>
      <c r="D113" s="19">
        <v>6172.0663461538497</v>
      </c>
      <c r="E113" s="19">
        <v>6043.3633470696004</v>
      </c>
      <c r="F113" s="19">
        <v>5658.9022206959698</v>
      </c>
      <c r="G113" s="19">
        <v>6020.8505036630004</v>
      </c>
      <c r="H113" s="19">
        <v>5402.16707875458</v>
      </c>
      <c r="I113" s="19">
        <v>6358.4746108058598</v>
      </c>
      <c r="J113" s="19">
        <v>6236.7086767399296</v>
      </c>
      <c r="K113" s="19">
        <v>5765.4047619047597</v>
      </c>
      <c r="L113" s="20">
        <f t="shared" si="1"/>
        <v>59227.30380036631</v>
      </c>
    </row>
    <row r="114" spans="1:12" ht="19.8" x14ac:dyDescent="0.3">
      <c r="A114" s="18">
        <v>45800</v>
      </c>
      <c r="B114" s="19">
        <v>5973.8759615384597</v>
      </c>
      <c r="C114" s="19">
        <v>5584.6900641025604</v>
      </c>
      <c r="D114" s="19">
        <v>6175.2927884615401</v>
      </c>
      <c r="E114" s="19">
        <v>6043.2209935897399</v>
      </c>
      <c r="F114" s="19">
        <v>5652.2349358974398</v>
      </c>
      <c r="G114" s="19">
        <v>6023.7003205128203</v>
      </c>
      <c r="H114" s="19">
        <v>5393.9818910256399</v>
      </c>
      <c r="I114" s="19">
        <v>6365.2378205128198</v>
      </c>
      <c r="J114" s="19">
        <v>6238.9935897435898</v>
      </c>
      <c r="K114" s="19">
        <v>5759.2291666666697</v>
      </c>
      <c r="L114" s="20">
        <f t="shared" si="1"/>
        <v>59210.457532051281</v>
      </c>
    </row>
    <row r="115" spans="1:12" ht="19.8" x14ac:dyDescent="0.3">
      <c r="A115" s="18">
        <v>45801</v>
      </c>
      <c r="B115" s="19">
        <v>5971.2664835164796</v>
      </c>
      <c r="C115" s="19">
        <v>5576.4993131868096</v>
      </c>
      <c r="D115" s="19">
        <v>6178.5192307692296</v>
      </c>
      <c r="E115" s="19">
        <v>6043.0786401098903</v>
      </c>
      <c r="F115" s="19">
        <v>5645.5676510988997</v>
      </c>
      <c r="G115" s="19">
        <v>6026.5501373626403</v>
      </c>
      <c r="H115" s="19">
        <v>5385.7967032966999</v>
      </c>
      <c r="I115" s="19">
        <v>6372.0010302197798</v>
      </c>
      <c r="J115" s="19">
        <v>6241.2785027472501</v>
      </c>
      <c r="K115" s="19">
        <v>5753.0535714285697</v>
      </c>
      <c r="L115" s="20">
        <f t="shared" si="1"/>
        <v>59193.611263736246</v>
      </c>
    </row>
    <row r="116" spans="1:12" ht="19.8" x14ac:dyDescent="0.3">
      <c r="A116" s="18">
        <v>45802</v>
      </c>
      <c r="B116" s="19">
        <v>5968.6570054945096</v>
      </c>
      <c r="C116" s="19">
        <v>5568.3085622710596</v>
      </c>
      <c r="D116" s="19">
        <v>6181.74567307692</v>
      </c>
      <c r="E116" s="19">
        <v>6042.9362866300398</v>
      </c>
      <c r="F116" s="19">
        <v>5638.9003663003696</v>
      </c>
      <c r="G116" s="19">
        <v>6029.3999542124502</v>
      </c>
      <c r="H116" s="19">
        <v>5377.6115155677699</v>
      </c>
      <c r="I116" s="19">
        <v>6378.7642399267397</v>
      </c>
      <c r="J116" s="19">
        <v>6243.5634157509103</v>
      </c>
      <c r="K116" s="19">
        <v>5746.8779761904798</v>
      </c>
      <c r="L116" s="20">
        <f t="shared" si="1"/>
        <v>59176.764995421254</v>
      </c>
    </row>
    <row r="117" spans="1:12" ht="19.8" x14ac:dyDescent="0.3">
      <c r="A117" s="18">
        <v>45803</v>
      </c>
      <c r="B117" s="19">
        <v>5966.0475274725304</v>
      </c>
      <c r="C117" s="19">
        <v>5560.1178113553096</v>
      </c>
      <c r="D117" s="19">
        <v>6184.9721153846103</v>
      </c>
      <c r="E117" s="19">
        <v>6042.7939331501802</v>
      </c>
      <c r="F117" s="19">
        <v>5632.2330815018304</v>
      </c>
      <c r="G117" s="19">
        <v>6032.2497710622702</v>
      </c>
      <c r="H117" s="19">
        <v>5369.4263278388298</v>
      </c>
      <c r="I117" s="19">
        <v>6385.5274496336997</v>
      </c>
      <c r="J117" s="19">
        <v>6245.8483287545796</v>
      </c>
      <c r="K117" s="19">
        <v>5740.7023809523798</v>
      </c>
      <c r="L117" s="20">
        <f t="shared" si="1"/>
        <v>59159.918727106226</v>
      </c>
    </row>
    <row r="118" spans="1:12" ht="19.8" x14ac:dyDescent="0.3">
      <c r="A118" s="18">
        <v>45804</v>
      </c>
      <c r="B118" s="19">
        <v>5963.4380494505504</v>
      </c>
      <c r="C118" s="19">
        <v>5551.9270604395597</v>
      </c>
      <c r="D118" s="19">
        <v>6188.1985576923098</v>
      </c>
      <c r="E118" s="19">
        <v>6042.6515796703297</v>
      </c>
      <c r="F118" s="19">
        <v>5625.5657967033003</v>
      </c>
      <c r="G118" s="19">
        <v>6035.0995879120901</v>
      </c>
      <c r="H118" s="19">
        <v>5361.2411401098898</v>
      </c>
      <c r="I118" s="19">
        <v>6392.2906593406597</v>
      </c>
      <c r="J118" s="19">
        <v>6248.1332417582398</v>
      </c>
      <c r="K118" s="19">
        <v>5734.5267857142899</v>
      </c>
      <c r="L118" s="20">
        <f t="shared" si="1"/>
        <v>59143.072458791219</v>
      </c>
    </row>
    <row r="119" spans="1:12" ht="19.8" x14ac:dyDescent="0.3">
      <c r="A119" s="18">
        <v>45805</v>
      </c>
      <c r="B119" s="19">
        <v>5960.8285714285703</v>
      </c>
      <c r="C119" s="19">
        <v>5543.7363095238097</v>
      </c>
      <c r="D119" s="19">
        <v>6191.4250000000002</v>
      </c>
      <c r="E119" s="19">
        <v>6042.5092261904801</v>
      </c>
      <c r="F119" s="19">
        <v>5618.8985119047602</v>
      </c>
      <c r="G119" s="19">
        <v>6037.9494047619</v>
      </c>
      <c r="H119" s="19">
        <v>5353.0559523809497</v>
      </c>
      <c r="I119" s="19">
        <v>6399.0538690476196</v>
      </c>
      <c r="J119" s="19">
        <v>6250.4181547619</v>
      </c>
      <c r="K119" s="19">
        <v>5728.3511904761899</v>
      </c>
      <c r="L119" s="20">
        <f t="shared" si="1"/>
        <v>59126.226190476176</v>
      </c>
    </row>
    <row r="120" spans="1:12" ht="19.8" x14ac:dyDescent="0.3">
      <c r="A120" s="18">
        <v>45806</v>
      </c>
      <c r="B120" s="19">
        <v>5958.2190934065902</v>
      </c>
      <c r="C120" s="19">
        <v>5535.5455586080598</v>
      </c>
      <c r="D120" s="19">
        <v>6194.6514423076896</v>
      </c>
      <c r="E120" s="19">
        <v>6042.3668727106196</v>
      </c>
      <c r="F120" s="19">
        <v>5612.2312271062301</v>
      </c>
      <c r="G120" s="19">
        <v>6040.79922161172</v>
      </c>
      <c r="H120" s="19">
        <v>5344.8707646520197</v>
      </c>
      <c r="I120" s="19">
        <v>6405.8170787545796</v>
      </c>
      <c r="J120" s="19">
        <v>6252.7030677655703</v>
      </c>
      <c r="K120" s="19">
        <v>5722.1755952381</v>
      </c>
      <c r="L120" s="20">
        <f t="shared" si="1"/>
        <v>59109.379922161177</v>
      </c>
    </row>
    <row r="121" spans="1:12" ht="19.8" x14ac:dyDescent="0.3">
      <c r="A121" s="18">
        <v>45807</v>
      </c>
      <c r="B121" s="19">
        <v>5955.6096153846102</v>
      </c>
      <c r="C121" s="19">
        <v>5527.3548076923098</v>
      </c>
      <c r="D121" s="19">
        <v>6197.87788461538</v>
      </c>
      <c r="E121" s="19">
        <v>6042.2245192307701</v>
      </c>
      <c r="F121" s="19">
        <v>5605.56394230769</v>
      </c>
      <c r="G121" s="19">
        <v>6043.6490384615399</v>
      </c>
      <c r="H121" s="19">
        <v>5336.6855769230797</v>
      </c>
      <c r="I121" s="19">
        <v>6412.5802884615396</v>
      </c>
      <c r="J121" s="19">
        <v>6254.9879807692296</v>
      </c>
      <c r="K121" s="19">
        <v>5716</v>
      </c>
      <c r="L121" s="20">
        <f t="shared" si="1"/>
        <v>59092.533653846149</v>
      </c>
    </row>
    <row r="122" spans="1:12" ht="19.8" x14ac:dyDescent="0.3">
      <c r="A122" s="18">
        <v>45808</v>
      </c>
      <c r="B122" s="19">
        <v>5953.0001373626401</v>
      </c>
      <c r="C122" s="19">
        <v>5519.1640567765598</v>
      </c>
      <c r="D122" s="19">
        <v>6201.1043269230804</v>
      </c>
      <c r="E122" s="19">
        <v>6042.0821657509196</v>
      </c>
      <c r="F122" s="19">
        <v>5598.8966575091599</v>
      </c>
      <c r="G122" s="19">
        <v>6046.4988553113599</v>
      </c>
      <c r="H122" s="19">
        <v>5328.5003891941396</v>
      </c>
      <c r="I122" s="19">
        <v>6419.3434981685004</v>
      </c>
      <c r="J122" s="19">
        <v>6257.2728937728898</v>
      </c>
      <c r="K122" s="19">
        <v>5709.8244047619</v>
      </c>
      <c r="L122" s="20">
        <f t="shared" si="1"/>
        <v>59075.687385531142</v>
      </c>
    </row>
    <row r="123" spans="1:12" ht="19.8" x14ac:dyDescent="0.3">
      <c r="A123" s="18">
        <v>45809</v>
      </c>
      <c r="B123" s="19">
        <v>5950.39065934066</v>
      </c>
      <c r="C123" s="19">
        <v>5510.9733058608099</v>
      </c>
      <c r="D123" s="19">
        <v>6204.3307692307699</v>
      </c>
      <c r="E123" s="19">
        <v>6041.93981227106</v>
      </c>
      <c r="F123" s="19">
        <v>5592.2293727106198</v>
      </c>
      <c r="G123" s="19">
        <v>6049.3486721611698</v>
      </c>
      <c r="H123" s="19">
        <v>5320.3152014651996</v>
      </c>
      <c r="I123" s="19">
        <v>6426.1067078754604</v>
      </c>
      <c r="J123" s="19">
        <v>6259.55780677656</v>
      </c>
      <c r="K123" s="19">
        <v>5703.6488095238101</v>
      </c>
      <c r="L123" s="20">
        <f t="shared" si="1"/>
        <v>59058.841117216121</v>
      </c>
    </row>
    <row r="124" spans="1:12" ht="19.8" x14ac:dyDescent="0.3">
      <c r="A124" s="18">
        <v>45810</v>
      </c>
      <c r="B124" s="19">
        <v>5947.78118131868</v>
      </c>
      <c r="C124" s="19">
        <v>5502.7825549450499</v>
      </c>
      <c r="D124" s="19">
        <v>6207.5572115384603</v>
      </c>
      <c r="E124" s="19">
        <v>6041.7974587912104</v>
      </c>
      <c r="F124" s="19">
        <v>5585.5620879120897</v>
      </c>
      <c r="G124" s="19">
        <v>6052.1984890109898</v>
      </c>
      <c r="H124" s="19">
        <v>5312.1300137362596</v>
      </c>
      <c r="I124" s="19">
        <v>6432.8699175824204</v>
      </c>
      <c r="J124" s="19">
        <v>6261.8427197802202</v>
      </c>
      <c r="K124" s="19">
        <v>5697.4732142857101</v>
      </c>
      <c r="L124" s="20">
        <f t="shared" si="1"/>
        <v>59041.994848901093</v>
      </c>
    </row>
    <row r="125" spans="1:12" ht="19.8" x14ac:dyDescent="0.3">
      <c r="A125" s="18">
        <v>45811</v>
      </c>
      <c r="B125" s="19">
        <v>5945.1717032966999</v>
      </c>
      <c r="C125" s="19">
        <v>5494.5918040293</v>
      </c>
      <c r="D125" s="19">
        <v>6210.7836538461497</v>
      </c>
      <c r="E125" s="19">
        <v>6041.6551053113599</v>
      </c>
      <c r="F125" s="19">
        <v>5578.8948031135496</v>
      </c>
      <c r="G125" s="19">
        <v>6055.0483058608097</v>
      </c>
      <c r="H125" s="19">
        <v>5303.9448260073304</v>
      </c>
      <c r="I125" s="19">
        <v>6439.6331272893804</v>
      </c>
      <c r="J125" s="19">
        <v>6264.1276327838796</v>
      </c>
      <c r="K125" s="19">
        <v>5691.2976190476202</v>
      </c>
      <c r="L125" s="20">
        <f t="shared" si="1"/>
        <v>59025.148580586079</v>
      </c>
    </row>
    <row r="126" spans="1:12" ht="19.8" x14ac:dyDescent="0.3">
      <c r="A126" s="18">
        <v>45812</v>
      </c>
      <c r="B126" s="19">
        <v>5942.5622252747298</v>
      </c>
      <c r="C126" s="19">
        <v>5486.40105311355</v>
      </c>
      <c r="D126" s="19">
        <v>6214.0100961538501</v>
      </c>
      <c r="E126" s="19">
        <v>6041.5127518315003</v>
      </c>
      <c r="F126" s="19">
        <v>5572.2275183150196</v>
      </c>
      <c r="G126" s="19">
        <v>6057.8981227106196</v>
      </c>
      <c r="H126" s="19">
        <v>5295.7596382783904</v>
      </c>
      <c r="I126" s="19">
        <v>6446.3963369963403</v>
      </c>
      <c r="J126" s="19">
        <v>6266.4125457875498</v>
      </c>
      <c r="K126" s="19">
        <v>5685.1220238095202</v>
      </c>
      <c r="L126" s="20">
        <f t="shared" si="1"/>
        <v>59008.302312271066</v>
      </c>
    </row>
    <row r="127" spans="1:12" ht="19.8" x14ac:dyDescent="0.3">
      <c r="A127" s="18">
        <v>45813</v>
      </c>
      <c r="B127" s="19">
        <v>5939.9527472527498</v>
      </c>
      <c r="C127" s="19">
        <v>5478.2103021978</v>
      </c>
      <c r="D127" s="19">
        <v>6217.2365384615396</v>
      </c>
      <c r="E127" s="19">
        <v>6041.3703983516498</v>
      </c>
      <c r="F127" s="19">
        <v>5565.5602335164804</v>
      </c>
      <c r="G127" s="19">
        <v>6060.7479395604396</v>
      </c>
      <c r="H127" s="19">
        <v>5287.5744505494504</v>
      </c>
      <c r="I127" s="19">
        <v>6453.1595467033003</v>
      </c>
      <c r="J127" s="19">
        <v>6268.69745879121</v>
      </c>
      <c r="K127" s="19">
        <v>5678.9464285714303</v>
      </c>
      <c r="L127" s="20">
        <f t="shared" si="1"/>
        <v>58991.456043956052</v>
      </c>
    </row>
    <row r="128" spans="1:12" ht="19.8" x14ac:dyDescent="0.3">
      <c r="A128" s="18">
        <v>45814</v>
      </c>
      <c r="B128" s="19">
        <v>5937.3432692307697</v>
      </c>
      <c r="C128" s="19">
        <v>5470.0195512820501</v>
      </c>
      <c r="D128" s="19">
        <v>6220.4629807692299</v>
      </c>
      <c r="E128" s="19">
        <v>6041.2280448718002</v>
      </c>
      <c r="F128" s="19">
        <v>5558.8929487179503</v>
      </c>
      <c r="G128" s="19">
        <v>6063.5977564102604</v>
      </c>
      <c r="H128" s="19">
        <v>5279.3892628205103</v>
      </c>
      <c r="I128" s="19">
        <v>6459.9227564102603</v>
      </c>
      <c r="J128" s="19">
        <v>6270.9823717948702</v>
      </c>
      <c r="K128" s="19">
        <v>5672.7708333333303</v>
      </c>
      <c r="L128" s="20">
        <f t="shared" si="1"/>
        <v>58974.609775641024</v>
      </c>
    </row>
    <row r="129" spans="1:12" ht="19.8" x14ac:dyDescent="0.3">
      <c r="A129" s="18">
        <v>45815</v>
      </c>
      <c r="B129" s="19">
        <v>5934.7337912087896</v>
      </c>
      <c r="C129" s="19">
        <v>5461.8288003663001</v>
      </c>
      <c r="D129" s="19">
        <v>6223.6894230769203</v>
      </c>
      <c r="E129" s="19">
        <v>6041.0856913919397</v>
      </c>
      <c r="F129" s="19">
        <v>5552.2256639194102</v>
      </c>
      <c r="G129" s="19">
        <v>6066.4475732600704</v>
      </c>
      <c r="H129" s="19">
        <v>5271.2040750915703</v>
      </c>
      <c r="I129" s="19">
        <v>6466.6859661172202</v>
      </c>
      <c r="J129" s="19">
        <v>6273.2672847985305</v>
      </c>
      <c r="K129" s="19">
        <v>5666.5952380952403</v>
      </c>
      <c r="L129" s="20">
        <f t="shared" si="1"/>
        <v>58957.763507325988</v>
      </c>
    </row>
    <row r="130" spans="1:12" ht="19.8" x14ac:dyDescent="0.3">
      <c r="A130" s="18">
        <v>45816</v>
      </c>
      <c r="B130" s="19">
        <v>5932.1243131868096</v>
      </c>
      <c r="C130" s="19">
        <v>5453.6380494505502</v>
      </c>
      <c r="D130" s="19">
        <v>6226.9158653846198</v>
      </c>
      <c r="E130" s="19">
        <v>6040.9433379120901</v>
      </c>
      <c r="F130" s="19">
        <v>5545.5583791208801</v>
      </c>
      <c r="G130" s="19">
        <v>6069.2973901098903</v>
      </c>
      <c r="H130" s="19">
        <v>5263.0188873626403</v>
      </c>
      <c r="I130" s="19">
        <v>6473.4491758241702</v>
      </c>
      <c r="J130" s="19">
        <v>6275.5521978021998</v>
      </c>
      <c r="K130" s="19">
        <v>5660.4196428571404</v>
      </c>
      <c r="L130" s="20">
        <f t="shared" si="1"/>
        <v>58940.917239010989</v>
      </c>
    </row>
    <row r="131" spans="1:12" ht="19.8" x14ac:dyDescent="0.3">
      <c r="A131" s="18">
        <v>45817</v>
      </c>
      <c r="B131" s="19">
        <v>5929.5148351648304</v>
      </c>
      <c r="C131" s="19">
        <v>5445.4472985348002</v>
      </c>
      <c r="D131" s="19">
        <v>6230.1423076923102</v>
      </c>
      <c r="E131" s="19">
        <v>6040.8009844322396</v>
      </c>
      <c r="F131" s="19">
        <v>5538.89109432234</v>
      </c>
      <c r="G131" s="19">
        <v>6072.1472069597103</v>
      </c>
      <c r="H131" s="19">
        <v>5254.8336996337002</v>
      </c>
      <c r="I131" s="19">
        <v>6480.2123855311302</v>
      </c>
      <c r="J131" s="19">
        <v>6277.83711080586</v>
      </c>
      <c r="K131" s="19">
        <v>5654.2440476190504</v>
      </c>
      <c r="L131" s="20">
        <f t="shared" ref="L131:L194" si="2">SUM(B131:K131)</f>
        <v>58924.070970695975</v>
      </c>
    </row>
    <row r="132" spans="1:12" ht="19.8" x14ac:dyDescent="0.3">
      <c r="A132" s="18">
        <v>45818</v>
      </c>
      <c r="B132" s="19">
        <v>5926.9053571428603</v>
      </c>
      <c r="C132" s="19">
        <v>5437.2565476190503</v>
      </c>
      <c r="D132" s="19">
        <v>6233.3687499999996</v>
      </c>
      <c r="E132" s="19">
        <v>6040.65863095238</v>
      </c>
      <c r="F132" s="19">
        <v>5532.2238095238099</v>
      </c>
      <c r="G132" s="19">
        <v>6074.9970238095202</v>
      </c>
      <c r="H132" s="19">
        <v>5246.6485119047602</v>
      </c>
      <c r="I132" s="19">
        <v>6486.9755952380901</v>
      </c>
      <c r="J132" s="19">
        <v>6280.1220238095202</v>
      </c>
      <c r="K132" s="19">
        <v>5648.0684523809496</v>
      </c>
      <c r="L132" s="20">
        <f t="shared" si="2"/>
        <v>58907.224702380932</v>
      </c>
    </row>
    <row r="133" spans="1:12" ht="19.8" x14ac:dyDescent="0.3">
      <c r="A133" s="18">
        <v>45819</v>
      </c>
      <c r="B133" s="19">
        <v>5924.2958791208803</v>
      </c>
      <c r="C133" s="19">
        <v>5429.0657967033003</v>
      </c>
      <c r="D133" s="19">
        <v>6236.59519230769</v>
      </c>
      <c r="E133" s="19">
        <v>6040.5162774725304</v>
      </c>
      <c r="F133" s="19">
        <v>5525.5565247252798</v>
      </c>
      <c r="G133" s="19">
        <v>6077.8468406593402</v>
      </c>
      <c r="H133" s="19">
        <v>5238.4633241758202</v>
      </c>
      <c r="I133" s="19">
        <v>6493.7388049450501</v>
      </c>
      <c r="J133" s="19">
        <v>6282.4069368131904</v>
      </c>
      <c r="K133" s="19">
        <v>5641.8928571428596</v>
      </c>
      <c r="L133" s="20">
        <f t="shared" si="2"/>
        <v>58890.378434065948</v>
      </c>
    </row>
    <row r="134" spans="1:12" ht="19.8" x14ac:dyDescent="0.3">
      <c r="A134" s="18">
        <v>45820</v>
      </c>
      <c r="B134" s="19">
        <v>5921.6864010989002</v>
      </c>
      <c r="C134" s="19">
        <v>5420.8750457875503</v>
      </c>
      <c r="D134" s="19">
        <v>6239.8216346153804</v>
      </c>
      <c r="E134" s="19">
        <v>6040.3739239926699</v>
      </c>
      <c r="F134" s="19">
        <v>5518.8892399267397</v>
      </c>
      <c r="G134" s="19">
        <v>6080.6966575091601</v>
      </c>
      <c r="H134" s="19">
        <v>5230.2781364468901</v>
      </c>
      <c r="I134" s="19">
        <v>6500.5020146520101</v>
      </c>
      <c r="J134" s="19">
        <v>6284.6918498168498</v>
      </c>
      <c r="K134" s="19">
        <v>5635.7172619047597</v>
      </c>
      <c r="L134" s="20">
        <f t="shared" si="2"/>
        <v>58873.532165750905</v>
      </c>
    </row>
    <row r="135" spans="1:12" ht="19.8" x14ac:dyDescent="0.3">
      <c r="A135" s="18">
        <v>45821</v>
      </c>
      <c r="B135" s="19">
        <v>5919.0769230769201</v>
      </c>
      <c r="C135" s="19">
        <v>5412.6842948717904</v>
      </c>
      <c r="D135" s="19">
        <v>6243.0480769230799</v>
      </c>
      <c r="E135" s="19">
        <v>6040.2315705128203</v>
      </c>
      <c r="F135" s="19">
        <v>5512.2219551282096</v>
      </c>
      <c r="G135" s="19">
        <v>6083.54647435897</v>
      </c>
      <c r="H135" s="19">
        <v>5222.0929487179501</v>
      </c>
      <c r="I135" s="19">
        <v>6507.26522435897</v>
      </c>
      <c r="J135" s="19">
        <v>6286.97676282051</v>
      </c>
      <c r="K135" s="19">
        <v>5629.5416666666697</v>
      </c>
      <c r="L135" s="20">
        <f t="shared" si="2"/>
        <v>58856.685897435891</v>
      </c>
    </row>
    <row r="136" spans="1:12" ht="19.8" x14ac:dyDescent="0.3">
      <c r="A136" s="18">
        <v>45822</v>
      </c>
      <c r="B136" s="19">
        <v>5916.4674450549401</v>
      </c>
      <c r="C136" s="19">
        <v>5404.4935439560404</v>
      </c>
      <c r="D136" s="19">
        <v>6246.2745192307702</v>
      </c>
      <c r="E136" s="19">
        <v>6040.0892170329698</v>
      </c>
      <c r="F136" s="19">
        <v>5505.5546703296704</v>
      </c>
      <c r="G136" s="19">
        <v>6086.39629120879</v>
      </c>
      <c r="H136" s="19">
        <v>5213.9077609890101</v>
      </c>
      <c r="I136" s="19">
        <v>6514.02843406593</v>
      </c>
      <c r="J136" s="19">
        <v>6289.2616758241802</v>
      </c>
      <c r="K136" s="19">
        <v>5623.3660714285697</v>
      </c>
      <c r="L136" s="20">
        <f t="shared" si="2"/>
        <v>58839.839629120863</v>
      </c>
    </row>
    <row r="137" spans="1:12" ht="19.8" x14ac:dyDescent="0.3">
      <c r="A137" s="18">
        <v>45823</v>
      </c>
      <c r="B137" s="19">
        <v>5913.85796703297</v>
      </c>
      <c r="C137" s="19">
        <v>5396.3027930402905</v>
      </c>
      <c r="D137" s="19">
        <v>6249.5009615384597</v>
      </c>
      <c r="E137" s="19">
        <v>6039.9468635531102</v>
      </c>
      <c r="F137" s="19">
        <v>5498.8873855311404</v>
      </c>
      <c r="G137" s="19">
        <v>6089.2461080586099</v>
      </c>
      <c r="H137" s="19">
        <v>5205.72257326007</v>
      </c>
      <c r="I137" s="19">
        <v>6520.79164377289</v>
      </c>
      <c r="J137" s="19">
        <v>6291.5465888278404</v>
      </c>
      <c r="K137" s="19">
        <v>5617.1904761904798</v>
      </c>
      <c r="L137" s="20">
        <f t="shared" si="2"/>
        <v>58822.993360805864</v>
      </c>
    </row>
    <row r="138" spans="1:12" ht="19.8" x14ac:dyDescent="0.3">
      <c r="A138" s="18">
        <v>45824</v>
      </c>
      <c r="B138" s="19">
        <v>5911.2484890109899</v>
      </c>
      <c r="C138" s="19">
        <v>5388.1120421245396</v>
      </c>
      <c r="D138" s="19">
        <v>6252.7274038461501</v>
      </c>
      <c r="E138" s="19">
        <v>6039.8045100732597</v>
      </c>
      <c r="F138" s="19">
        <v>5492.2201007326003</v>
      </c>
      <c r="G138" s="19">
        <v>6092.0959249084199</v>
      </c>
      <c r="H138" s="19">
        <v>5197.53738553114</v>
      </c>
      <c r="I138" s="19">
        <v>6527.55485347985</v>
      </c>
      <c r="J138" s="19">
        <v>6293.8315018314997</v>
      </c>
      <c r="K138" s="19">
        <v>5611.0148809523798</v>
      </c>
      <c r="L138" s="20">
        <f t="shared" si="2"/>
        <v>58806.147092490828</v>
      </c>
    </row>
    <row r="139" spans="1:12" ht="19.8" x14ac:dyDescent="0.3">
      <c r="A139" s="18">
        <v>45825</v>
      </c>
      <c r="B139" s="19">
        <v>5908.6390109890099</v>
      </c>
      <c r="C139" s="19">
        <v>5379.9212912087896</v>
      </c>
      <c r="D139" s="19">
        <v>6255.9538461538496</v>
      </c>
      <c r="E139" s="19">
        <v>6039.6621565934101</v>
      </c>
      <c r="F139" s="19">
        <v>5485.5528159340702</v>
      </c>
      <c r="G139" s="19">
        <v>6094.9457417582398</v>
      </c>
      <c r="H139" s="19">
        <v>5189.3521978022</v>
      </c>
      <c r="I139" s="19">
        <v>6534.3180631868099</v>
      </c>
      <c r="J139" s="19">
        <v>6296.11641483516</v>
      </c>
      <c r="K139" s="19">
        <v>5604.8392857142899</v>
      </c>
      <c r="L139" s="20">
        <f t="shared" si="2"/>
        <v>58789.300824175822</v>
      </c>
    </row>
    <row r="140" spans="1:12" ht="19.8" x14ac:dyDescent="0.3">
      <c r="A140" s="18">
        <v>45826</v>
      </c>
      <c r="B140" s="19">
        <v>5906.0295329670298</v>
      </c>
      <c r="C140" s="19">
        <v>5371.7305402930397</v>
      </c>
      <c r="D140" s="19">
        <v>6259.1802884615399</v>
      </c>
      <c r="E140" s="19">
        <v>6039.5198031135496</v>
      </c>
      <c r="F140" s="19">
        <v>5478.8855311355301</v>
      </c>
      <c r="G140" s="19">
        <v>6097.7955586080598</v>
      </c>
      <c r="H140" s="19">
        <v>5181.1670100732599</v>
      </c>
      <c r="I140" s="19">
        <v>6541.0812728937699</v>
      </c>
      <c r="J140" s="19">
        <v>6298.4013278388302</v>
      </c>
      <c r="K140" s="19">
        <v>5598.6636904761899</v>
      </c>
      <c r="L140" s="20">
        <f t="shared" si="2"/>
        <v>58772.454555860793</v>
      </c>
    </row>
    <row r="141" spans="1:12" ht="19.8" x14ac:dyDescent="0.3">
      <c r="A141" s="18">
        <v>45827</v>
      </c>
      <c r="B141" s="19">
        <v>5903.4200549450497</v>
      </c>
      <c r="C141" s="19">
        <v>5363.5397893772897</v>
      </c>
      <c r="D141" s="19">
        <v>6262.4067307692303</v>
      </c>
      <c r="E141" s="19">
        <v>6039.3774496337001</v>
      </c>
      <c r="F141" s="19">
        <v>5472.218246337</v>
      </c>
      <c r="G141" s="19">
        <v>6100.6453754578797</v>
      </c>
      <c r="H141" s="19">
        <v>5172.9818223443199</v>
      </c>
      <c r="I141" s="19">
        <v>6547.8444826007299</v>
      </c>
      <c r="J141" s="19">
        <v>6300.6862408424904</v>
      </c>
      <c r="K141" s="19">
        <v>5592.4880952381</v>
      </c>
      <c r="L141" s="20">
        <f t="shared" si="2"/>
        <v>58755.608287545794</v>
      </c>
    </row>
    <row r="142" spans="1:12" ht="19.8" x14ac:dyDescent="0.3">
      <c r="A142" s="18">
        <v>45828</v>
      </c>
      <c r="B142" s="19">
        <v>5900.8105769230797</v>
      </c>
      <c r="C142" s="19">
        <v>5355.3490384615297</v>
      </c>
      <c r="D142" s="19">
        <v>6265.6331730769198</v>
      </c>
      <c r="E142" s="19">
        <v>6039.2350961538496</v>
      </c>
      <c r="F142" s="19">
        <v>5465.5509615384599</v>
      </c>
      <c r="G142" s="19">
        <v>6103.4951923076896</v>
      </c>
      <c r="H142" s="19">
        <v>5164.7966346153898</v>
      </c>
      <c r="I142" s="19">
        <v>6554.6076923076898</v>
      </c>
      <c r="J142" s="19">
        <v>6302.9711538461497</v>
      </c>
      <c r="K142" s="19">
        <v>5586.3125</v>
      </c>
      <c r="L142" s="20">
        <f t="shared" si="2"/>
        <v>58738.762019230759</v>
      </c>
    </row>
    <row r="143" spans="1:12" ht="19.8" x14ac:dyDescent="0.3">
      <c r="A143" s="18">
        <v>45829</v>
      </c>
      <c r="B143" s="19">
        <v>5898.2010989010996</v>
      </c>
      <c r="C143" s="19">
        <v>5347.1582875457798</v>
      </c>
      <c r="D143" s="19">
        <v>6268.8596153846202</v>
      </c>
      <c r="E143" s="19">
        <v>6039.09274267399</v>
      </c>
      <c r="F143" s="19">
        <v>5458.8836767399298</v>
      </c>
      <c r="G143" s="19">
        <v>6106.3450091575096</v>
      </c>
      <c r="H143" s="19">
        <v>5156.6114468864498</v>
      </c>
      <c r="I143" s="19">
        <v>6561.3709020146498</v>
      </c>
      <c r="J143" s="19">
        <v>6305.2560668498199</v>
      </c>
      <c r="K143" s="19">
        <v>5580.1369047619</v>
      </c>
      <c r="L143" s="20">
        <f t="shared" si="2"/>
        <v>58721.915750915745</v>
      </c>
    </row>
    <row r="144" spans="1:12" ht="19.8" x14ac:dyDescent="0.3">
      <c r="A144" s="18">
        <v>45830</v>
      </c>
      <c r="B144" s="19">
        <v>5895.5916208791195</v>
      </c>
      <c r="C144" s="19">
        <v>5338.9675366300298</v>
      </c>
      <c r="D144" s="19">
        <v>6272.0860576923096</v>
      </c>
      <c r="E144" s="19">
        <v>6038.9503891941404</v>
      </c>
      <c r="F144" s="19">
        <v>5452.2163919413897</v>
      </c>
      <c r="G144" s="19">
        <v>6109.1948260073304</v>
      </c>
      <c r="H144" s="19">
        <v>5148.4262591575098</v>
      </c>
      <c r="I144" s="19">
        <v>6568.1341117216098</v>
      </c>
      <c r="J144" s="19">
        <v>6307.5409798534802</v>
      </c>
      <c r="K144" s="19">
        <v>5573.9613095238101</v>
      </c>
      <c r="L144" s="20">
        <f t="shared" si="2"/>
        <v>58705.069482600731</v>
      </c>
    </row>
    <row r="145" spans="1:12" ht="19.8" x14ac:dyDescent="0.3">
      <c r="A145" s="18">
        <v>45831</v>
      </c>
      <c r="B145" s="19">
        <v>5892.9821428571404</v>
      </c>
      <c r="C145" s="19">
        <v>5330.7767857142799</v>
      </c>
      <c r="D145" s="19">
        <v>6275.3125</v>
      </c>
      <c r="E145" s="19">
        <v>6038.8080357142899</v>
      </c>
      <c r="F145" s="19">
        <v>5445.5491071428596</v>
      </c>
      <c r="G145" s="19">
        <v>6112.0446428571404</v>
      </c>
      <c r="H145" s="19">
        <v>5140.2410714285697</v>
      </c>
      <c r="I145" s="19">
        <v>6574.8973214285697</v>
      </c>
      <c r="J145" s="19">
        <v>6309.8258928571404</v>
      </c>
      <c r="K145" s="19">
        <v>5567.7857142857101</v>
      </c>
      <c r="L145" s="20">
        <f t="shared" si="2"/>
        <v>58688.223214285703</v>
      </c>
    </row>
    <row r="146" spans="1:12" ht="19.8" x14ac:dyDescent="0.3">
      <c r="A146" s="18">
        <v>45832</v>
      </c>
      <c r="B146" s="19">
        <v>5890.3726648351603</v>
      </c>
      <c r="C146" s="19">
        <v>5322.5860347985299</v>
      </c>
      <c r="D146" s="19">
        <v>6278.5389423076904</v>
      </c>
      <c r="E146" s="19">
        <v>6038.6656822344303</v>
      </c>
      <c r="F146" s="19">
        <v>5438.8818223443204</v>
      </c>
      <c r="G146" s="19">
        <v>6114.8944597069603</v>
      </c>
      <c r="H146" s="19">
        <v>5132.0558836996297</v>
      </c>
      <c r="I146" s="19">
        <v>6581.6605311355297</v>
      </c>
      <c r="J146" s="19">
        <v>6312.1108058608097</v>
      </c>
      <c r="K146" s="19">
        <v>5561.6101190476202</v>
      </c>
      <c r="L146" s="20">
        <f t="shared" si="2"/>
        <v>58671.376945970675</v>
      </c>
    </row>
    <row r="147" spans="1:12" ht="19.8" x14ac:dyDescent="0.3">
      <c r="A147" s="18">
        <v>45833</v>
      </c>
      <c r="B147" s="19">
        <v>5887.7631868131903</v>
      </c>
      <c r="C147" s="19">
        <v>5314.3952838827799</v>
      </c>
      <c r="D147" s="19">
        <v>6281.7653846153798</v>
      </c>
      <c r="E147" s="19">
        <v>6038.5233287545798</v>
      </c>
      <c r="F147" s="19">
        <v>5432.2145375457903</v>
      </c>
      <c r="G147" s="19">
        <v>6117.7442765567803</v>
      </c>
      <c r="H147" s="19">
        <v>5123.8706959706997</v>
      </c>
      <c r="I147" s="19">
        <v>6588.4237408424897</v>
      </c>
      <c r="J147" s="19">
        <v>6314.3957188644699</v>
      </c>
      <c r="K147" s="19">
        <v>5555.4345238095202</v>
      </c>
      <c r="L147" s="20">
        <f t="shared" si="2"/>
        <v>58654.530677655683</v>
      </c>
    </row>
    <row r="148" spans="1:12" ht="19.8" x14ac:dyDescent="0.3">
      <c r="A148" s="18">
        <v>45834</v>
      </c>
      <c r="B148" s="19">
        <v>5885.1537087912102</v>
      </c>
      <c r="C148" s="19">
        <v>5306.20453296703</v>
      </c>
      <c r="D148" s="19">
        <v>6284.9918269230802</v>
      </c>
      <c r="E148" s="19">
        <v>6038.3809752747302</v>
      </c>
      <c r="F148" s="19">
        <v>5425.5472527472502</v>
      </c>
      <c r="G148" s="19">
        <v>6120.5940934065902</v>
      </c>
      <c r="H148" s="19">
        <v>5115.6855082417596</v>
      </c>
      <c r="I148" s="19">
        <v>6595.1869505494496</v>
      </c>
      <c r="J148" s="19">
        <v>6316.6806318681301</v>
      </c>
      <c r="K148" s="19">
        <v>5549.2589285714303</v>
      </c>
      <c r="L148" s="20">
        <f t="shared" si="2"/>
        <v>58637.684409340647</v>
      </c>
    </row>
    <row r="149" spans="1:12" ht="19.8" x14ac:dyDescent="0.3">
      <c r="A149" s="18">
        <v>45835</v>
      </c>
      <c r="B149" s="19">
        <v>5882.5442307692301</v>
      </c>
      <c r="C149" s="19">
        <v>5298.01378205128</v>
      </c>
      <c r="D149" s="19">
        <v>6288.2182692307697</v>
      </c>
      <c r="E149" s="19">
        <v>6038.2386217948697</v>
      </c>
      <c r="F149" s="19">
        <v>5418.8799679487202</v>
      </c>
      <c r="G149" s="19">
        <v>6123.4439102564102</v>
      </c>
      <c r="H149" s="19">
        <v>5107.5003205128196</v>
      </c>
      <c r="I149" s="19">
        <v>6601.9501602564096</v>
      </c>
      <c r="J149" s="19">
        <v>6318.9655448717904</v>
      </c>
      <c r="K149" s="19">
        <v>5543.0833333333303</v>
      </c>
      <c r="L149" s="20">
        <f t="shared" si="2"/>
        <v>58620.838141025633</v>
      </c>
    </row>
    <row r="150" spans="1:12" ht="19.8" x14ac:dyDescent="0.3">
      <c r="A150" s="18">
        <v>45836</v>
      </c>
      <c r="B150" s="19">
        <v>5879.9347527472501</v>
      </c>
      <c r="C150" s="19">
        <v>5289.8230311355301</v>
      </c>
      <c r="D150" s="19">
        <v>6291.4447115384601</v>
      </c>
      <c r="E150" s="19">
        <v>6038.0962683150201</v>
      </c>
      <c r="F150" s="19">
        <v>5412.2126831501801</v>
      </c>
      <c r="G150" s="19">
        <v>6126.2937271062301</v>
      </c>
      <c r="H150" s="19">
        <v>5099.3151327838796</v>
      </c>
      <c r="I150" s="19">
        <v>6608.7133699633696</v>
      </c>
      <c r="J150" s="19">
        <v>6321.2504578754597</v>
      </c>
      <c r="K150" s="19">
        <v>5536.9077380952403</v>
      </c>
      <c r="L150" s="20">
        <f t="shared" si="2"/>
        <v>58603.991872710627</v>
      </c>
    </row>
    <row r="151" spans="1:12" ht="19.8" x14ac:dyDescent="0.3">
      <c r="A151" s="18">
        <v>45837</v>
      </c>
      <c r="B151" s="19">
        <v>5877.32527472527</v>
      </c>
      <c r="C151" s="19">
        <v>5281.6322802197801</v>
      </c>
      <c r="D151" s="19">
        <v>6294.6711538461504</v>
      </c>
      <c r="E151" s="19">
        <v>6037.9539148351696</v>
      </c>
      <c r="F151" s="19">
        <v>5405.54539835165</v>
      </c>
      <c r="G151" s="19">
        <v>6129.14354395604</v>
      </c>
      <c r="H151" s="19">
        <v>5091.1299450549504</v>
      </c>
      <c r="I151" s="19">
        <v>6615.4765796703296</v>
      </c>
      <c r="J151" s="19">
        <v>6323.5353708791199</v>
      </c>
      <c r="K151" s="19">
        <v>5530.7321428571404</v>
      </c>
      <c r="L151" s="20">
        <f t="shared" si="2"/>
        <v>58587.145604395591</v>
      </c>
    </row>
    <row r="152" spans="1:12" ht="19.8" x14ac:dyDescent="0.3">
      <c r="A152" s="18">
        <v>45838</v>
      </c>
      <c r="B152" s="19">
        <v>5874.7157967032999</v>
      </c>
      <c r="C152" s="19">
        <v>5273.4415293040302</v>
      </c>
      <c r="D152" s="19">
        <v>6297.8975961538499</v>
      </c>
      <c r="E152" s="19">
        <v>6037.81156135531</v>
      </c>
      <c r="F152" s="19">
        <v>5398.8781135531099</v>
      </c>
      <c r="G152" s="19">
        <v>6131.99336080586</v>
      </c>
      <c r="H152" s="19">
        <v>5082.9447573260104</v>
      </c>
      <c r="I152" s="19">
        <v>6622.2397893772904</v>
      </c>
      <c r="J152" s="19">
        <v>6325.8202838827801</v>
      </c>
      <c r="K152" s="19">
        <v>5524.5565476190504</v>
      </c>
      <c r="L152" s="20">
        <f t="shared" si="2"/>
        <v>58570.299336080592</v>
      </c>
    </row>
    <row r="153" spans="1:12" ht="19.8" x14ac:dyDescent="0.3">
      <c r="A153" s="18">
        <v>45839</v>
      </c>
      <c r="B153" s="19">
        <v>5872.1063186813199</v>
      </c>
      <c r="C153" s="19">
        <v>5265.2507783882702</v>
      </c>
      <c r="D153" s="19">
        <v>6301.1240384615403</v>
      </c>
      <c r="E153" s="19">
        <v>6037.6692078754604</v>
      </c>
      <c r="F153" s="19">
        <v>5392.2108287545798</v>
      </c>
      <c r="G153" s="19">
        <v>6134.8431776556799</v>
      </c>
      <c r="H153" s="19">
        <v>5074.7595695970704</v>
      </c>
      <c r="I153" s="19">
        <v>6629.0029990842504</v>
      </c>
      <c r="J153" s="19">
        <v>6328.1051968864504</v>
      </c>
      <c r="K153" s="19">
        <v>5518.3809523809496</v>
      </c>
      <c r="L153" s="20">
        <f t="shared" si="2"/>
        <v>58553.453067765578</v>
      </c>
    </row>
    <row r="154" spans="1:12" ht="19.8" x14ac:dyDescent="0.3">
      <c r="A154" s="18">
        <v>45840</v>
      </c>
      <c r="B154" s="19">
        <v>5869.4968406593398</v>
      </c>
      <c r="C154" s="19">
        <v>5257.0600274725202</v>
      </c>
      <c r="D154" s="19">
        <v>6304.3504807692298</v>
      </c>
      <c r="E154" s="19">
        <v>6037.5268543956099</v>
      </c>
      <c r="F154" s="19">
        <v>5385.5435439560397</v>
      </c>
      <c r="G154" s="19">
        <v>6137.6929945054899</v>
      </c>
      <c r="H154" s="19">
        <v>5066.5743818681303</v>
      </c>
      <c r="I154" s="19">
        <v>6635.7662087912104</v>
      </c>
      <c r="J154" s="19">
        <v>6330.3901098901097</v>
      </c>
      <c r="K154" s="19">
        <v>5512.2053571428596</v>
      </c>
      <c r="L154" s="20">
        <f t="shared" si="2"/>
        <v>58536.606799450543</v>
      </c>
    </row>
    <row r="155" spans="1:12" ht="19.8" x14ac:dyDescent="0.3">
      <c r="A155" s="18">
        <v>45841</v>
      </c>
      <c r="B155" s="19">
        <v>5866.8873626373597</v>
      </c>
      <c r="C155" s="19">
        <v>5248.8692765567703</v>
      </c>
      <c r="D155" s="19">
        <v>6307.5769230769201</v>
      </c>
      <c r="E155" s="19">
        <v>6037.3845009157503</v>
      </c>
      <c r="F155" s="19">
        <v>5378.8762591575096</v>
      </c>
      <c r="G155" s="19">
        <v>6140.5428113553098</v>
      </c>
      <c r="H155" s="19">
        <v>5058.3891941392003</v>
      </c>
      <c r="I155" s="19">
        <v>6642.5294184981703</v>
      </c>
      <c r="J155" s="19">
        <v>6332.6750228937699</v>
      </c>
      <c r="K155" s="19">
        <v>5506.0297619047597</v>
      </c>
      <c r="L155" s="20">
        <f t="shared" si="2"/>
        <v>58519.760531135515</v>
      </c>
    </row>
    <row r="156" spans="1:12" ht="19.8" x14ac:dyDescent="0.3">
      <c r="A156" s="18">
        <v>45842</v>
      </c>
      <c r="B156" s="19">
        <v>5864.2778846153797</v>
      </c>
      <c r="C156" s="19">
        <v>5240.6785256410203</v>
      </c>
      <c r="D156" s="19">
        <v>6310.8033653846196</v>
      </c>
      <c r="E156" s="19">
        <v>6037.2421474358998</v>
      </c>
      <c r="F156" s="19">
        <v>5372.2089743589704</v>
      </c>
      <c r="G156" s="19">
        <v>6143.3926282051298</v>
      </c>
      <c r="H156" s="19">
        <v>5050.2040064102603</v>
      </c>
      <c r="I156" s="19">
        <v>6649.2926282051303</v>
      </c>
      <c r="J156" s="19">
        <v>6334.9599358974401</v>
      </c>
      <c r="K156" s="19">
        <v>5499.8541666666697</v>
      </c>
      <c r="L156" s="20">
        <f t="shared" si="2"/>
        <v>58502.914262820515</v>
      </c>
    </row>
    <row r="157" spans="1:12" ht="19.8" x14ac:dyDescent="0.3">
      <c r="A157" s="18">
        <v>45843</v>
      </c>
      <c r="B157" s="19">
        <v>5861.6684065934096</v>
      </c>
      <c r="C157" s="19">
        <v>5232.4877747252704</v>
      </c>
      <c r="D157" s="19">
        <v>6314.02980769231</v>
      </c>
      <c r="E157" s="19">
        <v>6037.0997939560402</v>
      </c>
      <c r="F157" s="19">
        <v>5365.5416895604403</v>
      </c>
      <c r="G157" s="19">
        <v>6146.2424450549497</v>
      </c>
      <c r="H157" s="19">
        <v>5042.0188186813202</v>
      </c>
      <c r="I157" s="19">
        <v>6656.0558379120903</v>
      </c>
      <c r="J157" s="19">
        <v>6337.2448489011003</v>
      </c>
      <c r="K157" s="19">
        <v>5493.6785714285697</v>
      </c>
      <c r="L157" s="20">
        <f t="shared" si="2"/>
        <v>58486.067994505502</v>
      </c>
    </row>
    <row r="158" spans="1:12" ht="19.8" x14ac:dyDescent="0.3">
      <c r="A158" s="18">
        <v>45844</v>
      </c>
      <c r="B158" s="19">
        <v>5859.0589285714304</v>
      </c>
      <c r="C158" s="19">
        <v>5224.2970238095204</v>
      </c>
      <c r="D158" s="19">
        <v>6317.2562500000004</v>
      </c>
      <c r="E158" s="19">
        <v>6036.9574404761897</v>
      </c>
      <c r="F158" s="19">
        <v>5358.8744047619002</v>
      </c>
      <c r="G158" s="19">
        <v>6149.0922619047597</v>
      </c>
      <c r="H158" s="19">
        <v>5033.8336309523802</v>
      </c>
      <c r="I158" s="19">
        <v>6662.8190476190503</v>
      </c>
      <c r="J158" s="19">
        <v>6339.5297619047597</v>
      </c>
      <c r="K158" s="19">
        <v>5487.5029761904798</v>
      </c>
      <c r="L158" s="20">
        <f t="shared" si="2"/>
        <v>58469.221726190466</v>
      </c>
    </row>
    <row r="159" spans="1:12" ht="19.8" x14ac:dyDescent="0.3">
      <c r="A159" s="18">
        <v>45845</v>
      </c>
      <c r="B159" s="19">
        <v>5856.4494505494504</v>
      </c>
      <c r="C159" s="19">
        <v>5216.1062728937704</v>
      </c>
      <c r="D159" s="19">
        <v>6320.4826923076898</v>
      </c>
      <c r="E159" s="19">
        <v>6036.8150869963401</v>
      </c>
      <c r="F159" s="19">
        <v>5352.2071199633701</v>
      </c>
      <c r="G159" s="19">
        <v>6151.9420787545796</v>
      </c>
      <c r="H159" s="19">
        <v>5025.6484432234402</v>
      </c>
      <c r="I159" s="19">
        <v>6669.5822573260102</v>
      </c>
      <c r="J159" s="19">
        <v>6341.8146749084299</v>
      </c>
      <c r="K159" s="19">
        <v>5481.3273809523798</v>
      </c>
      <c r="L159" s="20">
        <f t="shared" si="2"/>
        <v>58452.37545787546</v>
      </c>
    </row>
    <row r="160" spans="1:12" ht="19.8" x14ac:dyDescent="0.3">
      <c r="A160" s="18">
        <v>45846</v>
      </c>
      <c r="B160" s="19">
        <v>5853.8399725274703</v>
      </c>
      <c r="C160" s="19">
        <v>5207.9155219780196</v>
      </c>
      <c r="D160" s="19">
        <v>6323.7091346153802</v>
      </c>
      <c r="E160" s="19">
        <v>6036.6727335164796</v>
      </c>
      <c r="F160" s="19">
        <v>5345.53983516484</v>
      </c>
      <c r="G160" s="19">
        <v>6154.7918956044005</v>
      </c>
      <c r="H160" s="19">
        <v>5017.4632554945101</v>
      </c>
      <c r="I160" s="19">
        <v>6676.3454670329702</v>
      </c>
      <c r="J160" s="19">
        <v>6344.0995879120901</v>
      </c>
      <c r="K160" s="19">
        <v>5475.1517857142899</v>
      </c>
      <c r="L160" s="20">
        <f t="shared" si="2"/>
        <v>58435.529189560446</v>
      </c>
    </row>
    <row r="161" spans="1:12" ht="19.8" x14ac:dyDescent="0.3">
      <c r="A161" s="18">
        <v>45847</v>
      </c>
      <c r="B161" s="19">
        <v>5851.2304945054902</v>
      </c>
      <c r="C161" s="19">
        <v>5199.7247710622696</v>
      </c>
      <c r="D161" s="19">
        <v>6326.9355769230797</v>
      </c>
      <c r="E161" s="19">
        <v>6036.53038003663</v>
      </c>
      <c r="F161" s="19">
        <v>5338.8725503662999</v>
      </c>
      <c r="G161" s="19">
        <v>6157.6417124542104</v>
      </c>
      <c r="H161" s="19">
        <v>5009.2780677655701</v>
      </c>
      <c r="I161" s="19">
        <v>6683.1086767399302</v>
      </c>
      <c r="J161" s="19">
        <v>6346.3845009157503</v>
      </c>
      <c r="K161" s="19">
        <v>5468.9761904761899</v>
      </c>
      <c r="L161" s="20">
        <f t="shared" si="2"/>
        <v>58418.682921245425</v>
      </c>
    </row>
    <row r="162" spans="1:12" ht="19.8" x14ac:dyDescent="0.3">
      <c r="A162" s="18">
        <v>45848</v>
      </c>
      <c r="B162" s="19">
        <v>5848.6210164835202</v>
      </c>
      <c r="C162" s="19">
        <v>5191.5340201465197</v>
      </c>
      <c r="D162" s="19">
        <v>6330.1620192307701</v>
      </c>
      <c r="E162" s="19">
        <v>6036.3880265567796</v>
      </c>
      <c r="F162" s="19">
        <v>5332.2052655677699</v>
      </c>
      <c r="G162" s="19">
        <v>6160.4915293040303</v>
      </c>
      <c r="H162" s="19">
        <v>5001.09288003663</v>
      </c>
      <c r="I162" s="19">
        <v>6689.8718864468901</v>
      </c>
      <c r="J162" s="19">
        <v>6348.6694139194096</v>
      </c>
      <c r="K162" s="19">
        <v>5462.8005952381</v>
      </c>
      <c r="L162" s="20">
        <f t="shared" si="2"/>
        <v>58401.836652930418</v>
      </c>
    </row>
    <row r="163" spans="1:12" ht="19.8" x14ac:dyDescent="0.3">
      <c r="A163" s="18">
        <v>45849</v>
      </c>
      <c r="B163" s="19">
        <v>5846.0115384615401</v>
      </c>
      <c r="C163" s="19">
        <v>5183.3432692307697</v>
      </c>
      <c r="D163" s="19">
        <v>6333.3884615384604</v>
      </c>
      <c r="E163" s="19">
        <v>6036.24567307692</v>
      </c>
      <c r="F163" s="19">
        <v>5325.5379807692298</v>
      </c>
      <c r="G163" s="19">
        <v>6163.3413461538503</v>
      </c>
      <c r="H163" s="19">
        <v>4992.90769230769</v>
      </c>
      <c r="I163" s="19">
        <v>6696.6350961538501</v>
      </c>
      <c r="J163" s="19">
        <v>6350.9543269230799</v>
      </c>
      <c r="K163" s="19">
        <v>5456.625</v>
      </c>
      <c r="L163" s="20">
        <f t="shared" si="2"/>
        <v>58384.990384615383</v>
      </c>
    </row>
    <row r="164" spans="1:12" ht="19.8" x14ac:dyDescent="0.3">
      <c r="A164" s="18">
        <v>45850</v>
      </c>
      <c r="B164" s="19">
        <v>5843.40206043956</v>
      </c>
      <c r="C164" s="19">
        <v>5175.1525183150097</v>
      </c>
      <c r="D164" s="19">
        <v>6336.6149038461499</v>
      </c>
      <c r="E164" s="19">
        <v>6036.1033195970704</v>
      </c>
      <c r="F164" s="19">
        <v>5318.8706959706997</v>
      </c>
      <c r="G164" s="19">
        <v>6166.1911630036602</v>
      </c>
      <c r="H164" s="19">
        <v>4984.72250457876</v>
      </c>
      <c r="I164" s="19">
        <v>6703.3983058608101</v>
      </c>
      <c r="J164" s="19">
        <v>6353.2392399267401</v>
      </c>
      <c r="K164" s="19">
        <v>5450.4494047619</v>
      </c>
      <c r="L164" s="20">
        <f t="shared" si="2"/>
        <v>58368.144116300369</v>
      </c>
    </row>
    <row r="165" spans="1:12" ht="19.8" x14ac:dyDescent="0.3">
      <c r="A165" s="18">
        <v>45851</v>
      </c>
      <c r="B165" s="19">
        <v>5840.79258241758</v>
      </c>
      <c r="C165" s="19">
        <v>5166.9617673992598</v>
      </c>
      <c r="D165" s="19">
        <v>6339.8413461538503</v>
      </c>
      <c r="E165" s="19">
        <v>6035.9609661172199</v>
      </c>
      <c r="F165" s="19">
        <v>5312.2034111721596</v>
      </c>
      <c r="G165" s="19">
        <v>6169.0409798534802</v>
      </c>
      <c r="H165" s="19">
        <v>4976.5373168498199</v>
      </c>
      <c r="I165" s="19">
        <v>6710.16151556777</v>
      </c>
      <c r="J165" s="19">
        <v>6355.5241529304003</v>
      </c>
      <c r="K165" s="19">
        <v>5444.2738095238101</v>
      </c>
      <c r="L165" s="20">
        <f t="shared" si="2"/>
        <v>58351.297847985355</v>
      </c>
    </row>
    <row r="166" spans="1:12" ht="19.8" x14ac:dyDescent="0.3">
      <c r="A166" s="18">
        <v>45852</v>
      </c>
      <c r="B166" s="19">
        <v>5838.1831043955999</v>
      </c>
      <c r="C166" s="19">
        <v>5158.7710164835098</v>
      </c>
      <c r="D166" s="19">
        <v>6343.0677884615397</v>
      </c>
      <c r="E166" s="19">
        <v>6035.8186126373603</v>
      </c>
      <c r="F166" s="19">
        <v>5305.5361263736304</v>
      </c>
      <c r="G166" s="19">
        <v>6171.8907967033001</v>
      </c>
      <c r="H166" s="19">
        <v>4968.3521291208799</v>
      </c>
      <c r="I166" s="19">
        <v>6716.92472527473</v>
      </c>
      <c r="J166" s="19">
        <v>6357.8090659340696</v>
      </c>
      <c r="K166" s="19">
        <v>5438.0982142857101</v>
      </c>
      <c r="L166" s="20">
        <f t="shared" si="2"/>
        <v>58334.451579670327</v>
      </c>
    </row>
    <row r="167" spans="1:12" ht="19.8" x14ac:dyDescent="0.3">
      <c r="A167" s="18">
        <v>45853</v>
      </c>
      <c r="B167" s="19">
        <v>5835.5736263736298</v>
      </c>
      <c r="C167" s="19">
        <v>5150.5802655677599</v>
      </c>
      <c r="D167" s="19">
        <v>6346.2942307692301</v>
      </c>
      <c r="E167" s="19">
        <v>6035.6762591575098</v>
      </c>
      <c r="F167" s="19">
        <v>5298.8688415751003</v>
      </c>
      <c r="G167" s="19">
        <v>6174.7406135531101</v>
      </c>
      <c r="H167" s="19">
        <v>4960.1669413919399</v>
      </c>
      <c r="I167" s="19">
        <v>6723.68793498169</v>
      </c>
      <c r="J167" s="19">
        <v>6360.0939789377298</v>
      </c>
      <c r="K167" s="19">
        <v>5431.9226190476202</v>
      </c>
      <c r="L167" s="20">
        <f t="shared" si="2"/>
        <v>58317.605311355321</v>
      </c>
    </row>
    <row r="168" spans="1:12" ht="19.8" x14ac:dyDescent="0.3">
      <c r="A168" s="18">
        <v>45854</v>
      </c>
      <c r="B168" s="19">
        <v>5832.9641483516498</v>
      </c>
      <c r="C168" s="19">
        <v>5142.3895146520099</v>
      </c>
      <c r="D168" s="19">
        <v>6349.5206730769196</v>
      </c>
      <c r="E168" s="19">
        <v>6035.5339056776602</v>
      </c>
      <c r="F168" s="19">
        <v>5292.2015567765602</v>
      </c>
      <c r="G168" s="19">
        <v>6177.59043040293</v>
      </c>
      <c r="H168" s="19">
        <v>4951.9817536629998</v>
      </c>
      <c r="I168" s="19">
        <v>6730.4511446886399</v>
      </c>
      <c r="J168" s="19">
        <v>6362.3788919413901</v>
      </c>
      <c r="K168" s="19">
        <v>5425.7470238095202</v>
      </c>
      <c r="L168" s="20">
        <f t="shared" si="2"/>
        <v>58300.759043040278</v>
      </c>
    </row>
    <row r="169" spans="1:12" ht="19.8" x14ac:dyDescent="0.3">
      <c r="A169" s="18">
        <v>45855</v>
      </c>
      <c r="B169" s="19">
        <v>5830.3546703296697</v>
      </c>
      <c r="C169" s="19">
        <v>5134.1987637362599</v>
      </c>
      <c r="D169" s="19">
        <v>6352.74711538462</v>
      </c>
      <c r="E169" s="19">
        <v>6035.3915521977997</v>
      </c>
      <c r="F169" s="19">
        <v>5285.5342719780301</v>
      </c>
      <c r="G169" s="19">
        <v>6180.4402472527499</v>
      </c>
      <c r="H169" s="19">
        <v>4943.7965659340698</v>
      </c>
      <c r="I169" s="19">
        <v>6737.2143543955999</v>
      </c>
      <c r="J169" s="19">
        <v>6364.6638049450503</v>
      </c>
      <c r="K169" s="19">
        <v>5419.5714285714303</v>
      </c>
      <c r="L169" s="20">
        <f t="shared" si="2"/>
        <v>58283.912774725271</v>
      </c>
    </row>
    <row r="170" spans="1:12" ht="19.8" x14ac:dyDescent="0.3">
      <c r="A170" s="18">
        <v>45856</v>
      </c>
      <c r="B170" s="19">
        <v>5827.7451923076896</v>
      </c>
      <c r="C170" s="19">
        <v>5126.00801282051</v>
      </c>
      <c r="D170" s="19">
        <v>6355.9735576923104</v>
      </c>
      <c r="E170" s="19">
        <v>6035.2491987179501</v>
      </c>
      <c r="F170" s="19">
        <v>5278.86698717949</v>
      </c>
      <c r="G170" s="19">
        <v>6183.2900641025599</v>
      </c>
      <c r="H170" s="19">
        <v>4935.6113782051298</v>
      </c>
      <c r="I170" s="19">
        <v>6743.9775641025599</v>
      </c>
      <c r="J170" s="19">
        <v>6366.9487179487196</v>
      </c>
      <c r="K170" s="19">
        <v>5413.3958333333303</v>
      </c>
      <c r="L170" s="20">
        <f t="shared" si="2"/>
        <v>58267.06650641025</v>
      </c>
    </row>
    <row r="171" spans="1:12" ht="19.8" x14ac:dyDescent="0.3">
      <c r="A171" s="18">
        <v>45857</v>
      </c>
      <c r="B171" s="19">
        <v>5825.1357142857096</v>
      </c>
      <c r="C171" s="19">
        <v>5117.81726190476</v>
      </c>
      <c r="D171" s="19">
        <v>6359.2</v>
      </c>
      <c r="E171" s="19">
        <v>6035.1068452380996</v>
      </c>
      <c r="F171" s="19">
        <v>5272.1997023809599</v>
      </c>
      <c r="G171" s="19">
        <v>6186.1398809523798</v>
      </c>
      <c r="H171" s="19">
        <v>4927.4261904761897</v>
      </c>
      <c r="I171" s="19">
        <v>6750.7407738095199</v>
      </c>
      <c r="J171" s="19">
        <v>6369.2336309523798</v>
      </c>
      <c r="K171" s="19">
        <v>5407.2202380952403</v>
      </c>
      <c r="L171" s="20">
        <f t="shared" si="2"/>
        <v>58250.220238095237</v>
      </c>
    </row>
    <row r="172" spans="1:12" ht="19.8" x14ac:dyDescent="0.3">
      <c r="A172" s="18">
        <v>45858</v>
      </c>
      <c r="B172" s="19">
        <v>5822.5262362637404</v>
      </c>
      <c r="C172" s="19">
        <v>5109.6265109890101</v>
      </c>
      <c r="D172" s="19">
        <v>6362.4264423076902</v>
      </c>
      <c r="E172" s="19">
        <v>6034.96449175824</v>
      </c>
      <c r="F172" s="19">
        <v>5265.5324175824198</v>
      </c>
      <c r="G172" s="19">
        <v>6188.9896978021998</v>
      </c>
      <c r="H172" s="19">
        <v>4919.2410027472497</v>
      </c>
      <c r="I172" s="19">
        <v>6757.5039835164798</v>
      </c>
      <c r="J172" s="19">
        <v>6371.51854395604</v>
      </c>
      <c r="K172" s="19">
        <v>5401.0446428571404</v>
      </c>
      <c r="L172" s="20">
        <f t="shared" si="2"/>
        <v>58233.373969780208</v>
      </c>
    </row>
    <row r="173" spans="1:12" ht="19.8" x14ac:dyDescent="0.3">
      <c r="A173" s="18">
        <v>45859</v>
      </c>
      <c r="B173" s="19">
        <v>5819.9167582417604</v>
      </c>
      <c r="C173" s="19">
        <v>5101.4357600732601</v>
      </c>
      <c r="D173" s="19">
        <v>6365.6528846153797</v>
      </c>
      <c r="E173" s="19">
        <v>6034.8221382783904</v>
      </c>
      <c r="F173" s="19">
        <v>5258.8651327838897</v>
      </c>
      <c r="G173" s="19">
        <v>6191.8395146520097</v>
      </c>
      <c r="H173" s="19">
        <v>4911.0558150183197</v>
      </c>
      <c r="I173" s="19">
        <v>6764.2671932234398</v>
      </c>
      <c r="J173" s="19">
        <v>6373.8034569597103</v>
      </c>
      <c r="K173" s="19">
        <v>5394.8690476190504</v>
      </c>
      <c r="L173" s="20">
        <f t="shared" si="2"/>
        <v>58216.527701465209</v>
      </c>
    </row>
    <row r="174" spans="1:12" ht="19.8" x14ac:dyDescent="0.3">
      <c r="A174" s="18">
        <v>45860</v>
      </c>
      <c r="B174" s="19">
        <v>5817.3072802197803</v>
      </c>
      <c r="C174" s="19">
        <v>5093.2450091575101</v>
      </c>
      <c r="D174" s="19">
        <v>6368.87932692308</v>
      </c>
      <c r="E174" s="19">
        <v>6034.6797847985399</v>
      </c>
      <c r="F174" s="19">
        <v>5252.1978479853497</v>
      </c>
      <c r="G174" s="19">
        <v>6194.6893315018297</v>
      </c>
      <c r="H174" s="19">
        <v>4902.8706272893796</v>
      </c>
      <c r="I174" s="19">
        <v>6771.0304029303998</v>
      </c>
      <c r="J174" s="19">
        <v>6376.0883699633696</v>
      </c>
      <c r="K174" s="19">
        <v>5388.6934523809496</v>
      </c>
      <c r="L174" s="20">
        <f t="shared" si="2"/>
        <v>58199.681433150188</v>
      </c>
    </row>
    <row r="175" spans="1:12" ht="19.8" x14ac:dyDescent="0.3">
      <c r="A175" s="18">
        <v>45861</v>
      </c>
      <c r="B175" s="19">
        <v>5814.6978021978002</v>
      </c>
      <c r="C175" s="19">
        <v>5085.0542582417502</v>
      </c>
      <c r="D175" s="19">
        <v>6372.1057692307704</v>
      </c>
      <c r="E175" s="19">
        <v>6034.5374313186803</v>
      </c>
      <c r="F175" s="19">
        <v>5245.5305631868196</v>
      </c>
      <c r="G175" s="19">
        <v>6197.5391483516496</v>
      </c>
      <c r="H175" s="19">
        <v>4894.6854395604396</v>
      </c>
      <c r="I175" s="19">
        <v>6777.7936126373597</v>
      </c>
      <c r="J175" s="19">
        <v>6378.3732829670298</v>
      </c>
      <c r="K175" s="19">
        <v>5382.5178571428596</v>
      </c>
      <c r="L175" s="20">
        <f t="shared" si="2"/>
        <v>58182.83516483516</v>
      </c>
    </row>
    <row r="176" spans="1:12" ht="19.8" x14ac:dyDescent="0.3">
      <c r="A176" s="18">
        <v>45862</v>
      </c>
      <c r="B176" s="19">
        <v>5812.0883241758202</v>
      </c>
      <c r="C176" s="19">
        <v>5076.8635073260002</v>
      </c>
      <c r="D176" s="19">
        <v>6375.3322115384599</v>
      </c>
      <c r="E176" s="19">
        <v>6034.3950778388298</v>
      </c>
      <c r="F176" s="19">
        <v>5238.8632783882804</v>
      </c>
      <c r="G176" s="19">
        <v>6200.3889652014695</v>
      </c>
      <c r="H176" s="19">
        <v>4886.5002518314996</v>
      </c>
      <c r="I176" s="19">
        <v>6784.5568223443197</v>
      </c>
      <c r="J176" s="19">
        <v>6380.6581959707</v>
      </c>
      <c r="K176" s="19">
        <v>5376.3422619047597</v>
      </c>
      <c r="L176" s="20">
        <f t="shared" si="2"/>
        <v>58165.988896520139</v>
      </c>
    </row>
    <row r="177" spans="1:12" ht="19.8" x14ac:dyDescent="0.3">
      <c r="A177" s="18">
        <v>45863</v>
      </c>
      <c r="B177" s="19">
        <v>5809.4788461538501</v>
      </c>
      <c r="C177" s="19">
        <v>5068.6727564102503</v>
      </c>
      <c r="D177" s="19">
        <v>6378.5586538461503</v>
      </c>
      <c r="E177" s="19">
        <v>6034.2527243589702</v>
      </c>
      <c r="F177" s="19">
        <v>5232.1959935897503</v>
      </c>
      <c r="G177" s="19">
        <v>6203.2387820512804</v>
      </c>
      <c r="H177" s="19">
        <v>4878.3150641025604</v>
      </c>
      <c r="I177" s="19">
        <v>6791.3200320512797</v>
      </c>
      <c r="J177" s="19">
        <v>6382.9431089743603</v>
      </c>
      <c r="K177" s="19">
        <v>5370.1666666666697</v>
      </c>
      <c r="L177" s="20">
        <f t="shared" si="2"/>
        <v>58149.142628205118</v>
      </c>
    </row>
    <row r="178" spans="1:12" ht="19.8" x14ac:dyDescent="0.3">
      <c r="A178" s="18">
        <v>45864</v>
      </c>
      <c r="B178" s="19">
        <v>5806.86936813187</v>
      </c>
      <c r="C178" s="19">
        <v>5060.4820054945003</v>
      </c>
      <c r="D178" s="19">
        <v>6381.7850961538497</v>
      </c>
      <c r="E178" s="19">
        <v>6034.1103708791197</v>
      </c>
      <c r="F178" s="19">
        <v>5225.5287087912102</v>
      </c>
      <c r="G178" s="19">
        <v>6206.0885989011003</v>
      </c>
      <c r="H178" s="19">
        <v>4870.1298763736304</v>
      </c>
      <c r="I178" s="19">
        <v>6798.0832417582396</v>
      </c>
      <c r="J178" s="19">
        <v>6385.2280219780196</v>
      </c>
      <c r="K178" s="19">
        <v>5363.9910714285697</v>
      </c>
      <c r="L178" s="20">
        <f t="shared" si="2"/>
        <v>58132.296359890119</v>
      </c>
    </row>
    <row r="179" spans="1:12" ht="19.8" x14ac:dyDescent="0.3">
      <c r="A179" s="18">
        <v>45865</v>
      </c>
      <c r="B179" s="19">
        <v>5804.25989010989</v>
      </c>
      <c r="C179" s="19">
        <v>5052.2912545787503</v>
      </c>
      <c r="D179" s="19">
        <v>6385.0115384615401</v>
      </c>
      <c r="E179" s="19">
        <v>6033.9680173992701</v>
      </c>
      <c r="F179" s="19">
        <v>5218.8614239926801</v>
      </c>
      <c r="G179" s="19">
        <v>6208.9384157509203</v>
      </c>
      <c r="H179" s="19">
        <v>4861.9446886446904</v>
      </c>
      <c r="I179" s="19">
        <v>6804.8464514651996</v>
      </c>
      <c r="J179" s="19">
        <v>6387.5129349816898</v>
      </c>
      <c r="K179" s="19">
        <v>5357.8154761904798</v>
      </c>
      <c r="L179" s="20">
        <f t="shared" si="2"/>
        <v>58115.450091575112</v>
      </c>
    </row>
    <row r="180" spans="1:12" ht="19.8" x14ac:dyDescent="0.3">
      <c r="A180" s="18">
        <v>45866</v>
      </c>
      <c r="B180" s="19">
        <v>5801.6504120879099</v>
      </c>
      <c r="C180" s="19">
        <v>5044.1005036630004</v>
      </c>
      <c r="D180" s="19">
        <v>6388.2379807692296</v>
      </c>
      <c r="E180" s="19">
        <v>6033.8256639194196</v>
      </c>
      <c r="F180" s="19">
        <v>5212.19413919414</v>
      </c>
      <c r="G180" s="19">
        <v>6211.7882326007302</v>
      </c>
      <c r="H180" s="19">
        <v>4853.7595009157503</v>
      </c>
      <c r="I180" s="19">
        <v>6811.6096611721596</v>
      </c>
      <c r="J180" s="19">
        <v>6389.79784798535</v>
      </c>
      <c r="K180" s="19">
        <v>5351.6398809523798</v>
      </c>
      <c r="L180" s="20">
        <f t="shared" si="2"/>
        <v>58098.603823260069</v>
      </c>
    </row>
    <row r="181" spans="1:12" ht="19.8" x14ac:dyDescent="0.3">
      <c r="A181" s="18">
        <v>45867</v>
      </c>
      <c r="B181" s="19">
        <v>5799.0409340659298</v>
      </c>
      <c r="C181" s="19">
        <v>5035.9097527472504</v>
      </c>
      <c r="D181" s="19">
        <v>6391.46442307692</v>
      </c>
      <c r="E181" s="19">
        <v>6033.68331043956</v>
      </c>
      <c r="F181" s="19">
        <v>5205.5268543956099</v>
      </c>
      <c r="G181" s="19">
        <v>6214.6380494505502</v>
      </c>
      <c r="H181" s="19">
        <v>4845.5743131868103</v>
      </c>
      <c r="I181" s="19">
        <v>6818.3728708791195</v>
      </c>
      <c r="J181" s="19">
        <v>6392.0827609890102</v>
      </c>
      <c r="K181" s="19">
        <v>5345.4642857142899</v>
      </c>
      <c r="L181" s="20">
        <f t="shared" si="2"/>
        <v>58081.757554945041</v>
      </c>
    </row>
    <row r="182" spans="1:12" ht="19.8" x14ac:dyDescent="0.3">
      <c r="A182" s="18">
        <v>45868</v>
      </c>
      <c r="B182" s="19">
        <v>5796.4314560439598</v>
      </c>
      <c r="C182" s="19">
        <v>5027.7190018314996</v>
      </c>
      <c r="D182" s="19">
        <v>6394.6908653846103</v>
      </c>
      <c r="E182" s="19">
        <v>6033.5409569597095</v>
      </c>
      <c r="F182" s="19">
        <v>5198.8595695970698</v>
      </c>
      <c r="G182" s="19">
        <v>6217.4878663003701</v>
      </c>
      <c r="H182" s="19">
        <v>4837.3891254578803</v>
      </c>
      <c r="I182" s="19">
        <v>6825.1360805860804</v>
      </c>
      <c r="J182" s="19">
        <v>6394.3676739926696</v>
      </c>
      <c r="K182" s="19">
        <v>5339.2886904761899</v>
      </c>
      <c r="L182" s="20">
        <f t="shared" si="2"/>
        <v>58064.911286630035</v>
      </c>
    </row>
    <row r="183" spans="1:12" ht="19.8" x14ac:dyDescent="0.3">
      <c r="A183" s="18">
        <v>45869</v>
      </c>
      <c r="B183" s="19">
        <v>5793.8219780219797</v>
      </c>
      <c r="C183" s="19">
        <v>5019.5282509157496</v>
      </c>
      <c r="D183" s="19">
        <v>6397.9173076923098</v>
      </c>
      <c r="E183" s="19">
        <v>6033.39860347985</v>
      </c>
      <c r="F183" s="19">
        <v>5192.1922847985397</v>
      </c>
      <c r="G183" s="19">
        <v>6220.3376831501801</v>
      </c>
      <c r="H183" s="19">
        <v>4829.2039377289402</v>
      </c>
      <c r="I183" s="19">
        <v>6831.8992902930404</v>
      </c>
      <c r="J183" s="19">
        <v>6396.6525869963398</v>
      </c>
      <c r="K183" s="19">
        <v>5333.1130952381</v>
      </c>
      <c r="L183" s="20">
        <f t="shared" si="2"/>
        <v>58048.065018315028</v>
      </c>
    </row>
    <row r="184" spans="1:12" ht="19.8" x14ac:dyDescent="0.3">
      <c r="A184" s="18">
        <v>45870</v>
      </c>
      <c r="B184" s="19">
        <v>5791.2124999999996</v>
      </c>
      <c r="C184" s="19">
        <v>5011.3374999999996</v>
      </c>
      <c r="D184" s="19">
        <v>6401.1437500000002</v>
      </c>
      <c r="E184" s="19">
        <v>6033.2562500000004</v>
      </c>
      <c r="F184" s="19">
        <v>5185.5249999999996</v>
      </c>
      <c r="G184" s="19">
        <v>6223.1875</v>
      </c>
      <c r="H184" s="19">
        <v>4821.0187500000002</v>
      </c>
      <c r="I184" s="19">
        <v>6838.6625000000004</v>
      </c>
      <c r="J184" s="19">
        <v>6398.9375</v>
      </c>
      <c r="K184" s="19">
        <v>5326.9375</v>
      </c>
      <c r="L184" s="20">
        <f t="shared" si="2"/>
        <v>58031.21875</v>
      </c>
    </row>
    <row r="185" spans="1:12" ht="19.8" x14ac:dyDescent="0.3">
      <c r="A185" s="18">
        <v>45871</v>
      </c>
      <c r="B185" s="19">
        <v>5788.6030219780196</v>
      </c>
      <c r="C185" s="19">
        <v>5003.1467490842497</v>
      </c>
      <c r="D185" s="19">
        <v>6404.3701923076896</v>
      </c>
      <c r="E185" s="19">
        <v>6033.1138965201499</v>
      </c>
      <c r="F185" s="19">
        <v>5178.8577152014695</v>
      </c>
      <c r="G185" s="19">
        <v>6226.0373168498199</v>
      </c>
      <c r="H185" s="19">
        <v>4812.8335622710601</v>
      </c>
      <c r="I185" s="19">
        <v>6845.4257097069603</v>
      </c>
      <c r="J185" s="19">
        <v>6401.2224130036602</v>
      </c>
      <c r="K185" s="19">
        <v>5320.7619047619</v>
      </c>
      <c r="L185" s="20">
        <f t="shared" si="2"/>
        <v>58014.372481684979</v>
      </c>
    </row>
    <row r="186" spans="1:12" ht="19.8" x14ac:dyDescent="0.3">
      <c r="A186" s="18">
        <v>45872</v>
      </c>
      <c r="B186" s="19">
        <v>5785.9935439560404</v>
      </c>
      <c r="C186" s="19">
        <v>4994.9559981684897</v>
      </c>
      <c r="D186" s="19">
        <v>6407.59663461538</v>
      </c>
      <c r="E186" s="19">
        <v>6032.9715430402903</v>
      </c>
      <c r="F186" s="19">
        <v>5172.1904304029304</v>
      </c>
      <c r="G186" s="19">
        <v>6228.8871336996299</v>
      </c>
      <c r="H186" s="19">
        <v>4804.6483745421301</v>
      </c>
      <c r="I186" s="19">
        <v>6852.1889194139203</v>
      </c>
      <c r="J186" s="19">
        <v>6403.5073260073304</v>
      </c>
      <c r="K186" s="19">
        <v>5314.5863095238101</v>
      </c>
      <c r="L186" s="20">
        <f t="shared" si="2"/>
        <v>57997.526213369951</v>
      </c>
    </row>
    <row r="187" spans="1:12" ht="19.8" x14ac:dyDescent="0.3">
      <c r="A187" s="18">
        <v>45873</v>
      </c>
      <c r="B187" s="19">
        <v>5783.3840659340603</v>
      </c>
      <c r="C187" s="19">
        <v>4986.7652472527398</v>
      </c>
      <c r="D187" s="19">
        <v>6410.8230769230804</v>
      </c>
      <c r="E187" s="19">
        <v>6032.8291895604398</v>
      </c>
      <c r="F187" s="19">
        <v>5165.5231456044003</v>
      </c>
      <c r="G187" s="19">
        <v>6231.7369505494498</v>
      </c>
      <c r="H187" s="19">
        <v>4796.4631868131901</v>
      </c>
      <c r="I187" s="19">
        <v>6858.9521291208803</v>
      </c>
      <c r="J187" s="19">
        <v>6405.7922390109898</v>
      </c>
      <c r="K187" s="19">
        <v>5308.4107142857101</v>
      </c>
      <c r="L187" s="20">
        <f t="shared" si="2"/>
        <v>57980.679945054937</v>
      </c>
    </row>
    <row r="188" spans="1:12" ht="19.8" x14ac:dyDescent="0.3">
      <c r="A188" s="18">
        <v>45874</v>
      </c>
      <c r="B188" s="19">
        <v>5780.7745879120903</v>
      </c>
      <c r="C188" s="19">
        <v>4978.5744963369898</v>
      </c>
      <c r="D188" s="19">
        <v>6414.0495192307699</v>
      </c>
      <c r="E188" s="19">
        <v>6032.6868360805902</v>
      </c>
      <c r="F188" s="19">
        <v>5158.8558608058602</v>
      </c>
      <c r="G188" s="19">
        <v>6234.5867673992698</v>
      </c>
      <c r="H188" s="19">
        <v>4788.27799908425</v>
      </c>
      <c r="I188" s="19">
        <v>6865.7153388278402</v>
      </c>
      <c r="J188" s="19">
        <v>6408.07715201465</v>
      </c>
      <c r="K188" s="19">
        <v>5302.2351190476202</v>
      </c>
      <c r="L188" s="20">
        <f t="shared" si="2"/>
        <v>57963.833676739931</v>
      </c>
    </row>
    <row r="189" spans="1:12" ht="19.8" x14ac:dyDescent="0.3">
      <c r="A189" s="18">
        <v>45875</v>
      </c>
      <c r="B189" s="19">
        <v>5778.1651098901102</v>
      </c>
      <c r="C189" s="19">
        <v>4970.3837454212398</v>
      </c>
      <c r="D189" s="19">
        <v>6417.2759615384603</v>
      </c>
      <c r="E189" s="19">
        <v>6032.5444826007297</v>
      </c>
      <c r="F189" s="19">
        <v>5152.1885760073301</v>
      </c>
      <c r="G189" s="19">
        <v>6237.4365842490797</v>
      </c>
      <c r="H189" s="19">
        <v>4780.09281135531</v>
      </c>
      <c r="I189" s="19">
        <v>6872.4785485348002</v>
      </c>
      <c r="J189" s="19">
        <v>6410.3620650183202</v>
      </c>
      <c r="K189" s="19">
        <v>5296.0595238095202</v>
      </c>
      <c r="L189" s="20">
        <f t="shared" si="2"/>
        <v>57946.987408424902</v>
      </c>
    </row>
    <row r="190" spans="1:12" ht="19.8" x14ac:dyDescent="0.3">
      <c r="A190" s="18">
        <v>45876</v>
      </c>
      <c r="B190" s="19">
        <v>5775.5556318681301</v>
      </c>
      <c r="C190" s="19">
        <v>4962.1929945054899</v>
      </c>
      <c r="D190" s="19">
        <v>6420.5024038461497</v>
      </c>
      <c r="E190" s="19">
        <v>6032.4021291208801</v>
      </c>
      <c r="F190" s="19">
        <v>5145.5212912088</v>
      </c>
      <c r="G190" s="19">
        <v>6240.2864010988997</v>
      </c>
      <c r="H190" s="19">
        <v>4771.90762362637</v>
      </c>
      <c r="I190" s="19">
        <v>6879.2417582417602</v>
      </c>
      <c r="J190" s="19">
        <v>6412.6469780219804</v>
      </c>
      <c r="K190" s="19">
        <v>5289.8839285714303</v>
      </c>
      <c r="L190" s="20">
        <f t="shared" si="2"/>
        <v>57930.141140109889</v>
      </c>
    </row>
    <row r="191" spans="1:12" ht="19.8" x14ac:dyDescent="0.3">
      <c r="A191" s="18">
        <v>45877</v>
      </c>
      <c r="B191" s="19">
        <v>5772.9461538461501</v>
      </c>
      <c r="C191" s="19">
        <v>4954.0022435897399</v>
      </c>
      <c r="D191" s="19">
        <v>6423.7288461538501</v>
      </c>
      <c r="E191" s="19">
        <v>6032.2597756410296</v>
      </c>
      <c r="F191" s="19">
        <v>5138.8540064102599</v>
      </c>
      <c r="G191" s="19">
        <v>6243.1362179487196</v>
      </c>
      <c r="H191" s="19">
        <v>4763.7224358974399</v>
      </c>
      <c r="I191" s="19">
        <v>6886.0049679487202</v>
      </c>
      <c r="J191" s="19">
        <v>6414.9318910256397</v>
      </c>
      <c r="K191" s="19">
        <v>5283.7083333333303</v>
      </c>
      <c r="L191" s="20">
        <f t="shared" si="2"/>
        <v>57913.294871794882</v>
      </c>
    </row>
    <row r="192" spans="1:12" ht="19.8" x14ac:dyDescent="0.3">
      <c r="A192" s="18">
        <v>45878</v>
      </c>
      <c r="B192" s="19">
        <v>5770.33667582418</v>
      </c>
      <c r="C192" s="19">
        <v>4945.81149267399</v>
      </c>
      <c r="D192" s="19">
        <v>6426.9552884615396</v>
      </c>
      <c r="E192" s="19">
        <v>6032.11742216117</v>
      </c>
      <c r="F192" s="19">
        <v>5132.1867216117298</v>
      </c>
      <c r="G192" s="19">
        <v>6245.9860347985305</v>
      </c>
      <c r="H192" s="19">
        <v>4755.5372481684999</v>
      </c>
      <c r="I192" s="19">
        <v>6892.7681776556801</v>
      </c>
      <c r="J192" s="19">
        <v>6417.2168040293</v>
      </c>
      <c r="K192" s="19">
        <v>5277.5327380952403</v>
      </c>
      <c r="L192" s="20">
        <f t="shared" si="2"/>
        <v>57896.448603479846</v>
      </c>
    </row>
    <row r="193" spans="1:12" ht="19.8" x14ac:dyDescent="0.3">
      <c r="A193" s="18">
        <v>45879</v>
      </c>
      <c r="B193" s="19">
        <v>5767.7271978022</v>
      </c>
      <c r="C193" s="19">
        <v>4937.62074175824</v>
      </c>
      <c r="D193" s="19">
        <v>6430.1817307692299</v>
      </c>
      <c r="E193" s="19">
        <v>6031.9750686813204</v>
      </c>
      <c r="F193" s="19">
        <v>5125.5194368131897</v>
      </c>
      <c r="G193" s="19">
        <v>6248.8358516483504</v>
      </c>
      <c r="H193" s="19">
        <v>4747.3520604395599</v>
      </c>
      <c r="I193" s="19">
        <v>6899.5313873626401</v>
      </c>
      <c r="J193" s="19">
        <v>6419.5017170329702</v>
      </c>
      <c r="K193" s="19">
        <v>5271.3571428571404</v>
      </c>
      <c r="L193" s="20">
        <f t="shared" si="2"/>
        <v>57879.60233516484</v>
      </c>
    </row>
    <row r="194" spans="1:12" ht="19.8" x14ac:dyDescent="0.3">
      <c r="A194" s="18">
        <v>45880</v>
      </c>
      <c r="B194" s="19">
        <v>5765.1177197802199</v>
      </c>
      <c r="C194" s="19">
        <v>4929.42999084249</v>
      </c>
      <c r="D194" s="19">
        <v>6433.4081730769203</v>
      </c>
      <c r="E194" s="19">
        <v>6031.8327152014699</v>
      </c>
      <c r="F194" s="19">
        <v>5118.8521520146596</v>
      </c>
      <c r="G194" s="19">
        <v>6251.6856684981703</v>
      </c>
      <c r="H194" s="19">
        <v>4739.1668727106198</v>
      </c>
      <c r="I194" s="19">
        <v>6906.2945970696001</v>
      </c>
      <c r="J194" s="19">
        <v>6421.7866300366304</v>
      </c>
      <c r="K194" s="19">
        <v>5265.1815476190504</v>
      </c>
      <c r="L194" s="20">
        <f t="shared" si="2"/>
        <v>57862.756066849834</v>
      </c>
    </row>
    <row r="195" spans="1:12" ht="19.8" x14ac:dyDescent="0.3">
      <c r="A195" s="18">
        <v>45881</v>
      </c>
      <c r="B195" s="19">
        <v>5762.5082417582398</v>
      </c>
      <c r="C195" s="19">
        <v>4921.2392399267401</v>
      </c>
      <c r="D195" s="19">
        <v>6436.6346153846198</v>
      </c>
      <c r="E195" s="19">
        <v>6031.6903617216103</v>
      </c>
      <c r="F195" s="19">
        <v>5112.1848672161204</v>
      </c>
      <c r="G195" s="19">
        <v>6254.5354853479903</v>
      </c>
      <c r="H195" s="19">
        <v>4730.9816849816898</v>
      </c>
      <c r="I195" s="19">
        <v>6913.05780677656</v>
      </c>
      <c r="J195" s="19">
        <v>6424.0715430402897</v>
      </c>
      <c r="K195" s="19">
        <v>5259.0059523809496</v>
      </c>
      <c r="L195" s="20">
        <f t="shared" ref="L195:L258" si="3">SUM(B195:K195)</f>
        <v>57845.909798534813</v>
      </c>
    </row>
    <row r="196" spans="1:12" ht="19.8" x14ac:dyDescent="0.3">
      <c r="A196" s="18">
        <v>45882</v>
      </c>
      <c r="B196" s="19">
        <v>5759.8987637362598</v>
      </c>
      <c r="C196" s="19">
        <v>4913.0484890109901</v>
      </c>
      <c r="D196" s="19">
        <v>6439.8610576923102</v>
      </c>
      <c r="E196" s="19">
        <v>6031.5480082417598</v>
      </c>
      <c r="F196" s="19">
        <v>5105.5175824175903</v>
      </c>
      <c r="G196" s="19">
        <v>6257.3853021978002</v>
      </c>
      <c r="H196" s="19">
        <v>4722.7964972527498</v>
      </c>
      <c r="I196" s="19">
        <v>6919.82101648352</v>
      </c>
      <c r="J196" s="19">
        <v>6426.35645604396</v>
      </c>
      <c r="K196" s="19">
        <v>5252.8303571428596</v>
      </c>
      <c r="L196" s="20">
        <f t="shared" si="3"/>
        <v>57829.063530219799</v>
      </c>
    </row>
    <row r="197" spans="1:12" ht="19.8" x14ac:dyDescent="0.3">
      <c r="A197" s="18">
        <v>45883</v>
      </c>
      <c r="B197" s="19">
        <v>5757.2892857142897</v>
      </c>
      <c r="C197" s="19">
        <v>4904.8577380952302</v>
      </c>
      <c r="D197" s="19">
        <v>6443.0874999999996</v>
      </c>
      <c r="E197" s="19">
        <v>6031.4056547619102</v>
      </c>
      <c r="F197" s="19">
        <v>5098.8502976190503</v>
      </c>
      <c r="G197" s="19">
        <v>6260.2351190476202</v>
      </c>
      <c r="H197" s="19">
        <v>4714.6113095238097</v>
      </c>
      <c r="I197" s="19">
        <v>6926.58422619048</v>
      </c>
      <c r="J197" s="19">
        <v>6428.6413690476202</v>
      </c>
      <c r="K197" s="19">
        <v>5246.6547619047597</v>
      </c>
      <c r="L197" s="20">
        <f t="shared" si="3"/>
        <v>57812.217261904778</v>
      </c>
    </row>
    <row r="198" spans="1:12" ht="19.8" x14ac:dyDescent="0.3">
      <c r="A198" s="18">
        <v>45884</v>
      </c>
      <c r="B198" s="19">
        <v>5754.6798076923096</v>
      </c>
      <c r="C198" s="19">
        <v>4896.6669871794802</v>
      </c>
      <c r="D198" s="19">
        <v>6446.31394230769</v>
      </c>
      <c r="E198" s="19">
        <v>6031.2633012820497</v>
      </c>
      <c r="F198" s="19">
        <v>5092.1830128205202</v>
      </c>
      <c r="G198" s="19">
        <v>6263.0849358974401</v>
      </c>
      <c r="H198" s="19">
        <v>4706.4261217948697</v>
      </c>
      <c r="I198" s="19">
        <v>6933.3474358974399</v>
      </c>
      <c r="J198" s="19">
        <v>6430.9262820512804</v>
      </c>
      <c r="K198" s="19">
        <v>5240.4791666666697</v>
      </c>
      <c r="L198" s="20">
        <f t="shared" si="3"/>
        <v>57795.370993589757</v>
      </c>
    </row>
    <row r="199" spans="1:12" ht="19.8" x14ac:dyDescent="0.3">
      <c r="A199" s="18">
        <v>45885</v>
      </c>
      <c r="B199" s="19">
        <v>5752.0703296703296</v>
      </c>
      <c r="C199" s="19">
        <v>4888.4762362637302</v>
      </c>
      <c r="D199" s="19">
        <v>6449.5403846153804</v>
      </c>
      <c r="E199" s="19">
        <v>6031.1209478022001</v>
      </c>
      <c r="F199" s="19">
        <v>5085.5157280219801</v>
      </c>
      <c r="G199" s="19">
        <v>6265.9347527472501</v>
      </c>
      <c r="H199" s="19">
        <v>4698.2409340659297</v>
      </c>
      <c r="I199" s="19">
        <v>6940.1106456043999</v>
      </c>
      <c r="J199" s="19">
        <v>6433.2111950549497</v>
      </c>
      <c r="K199" s="19">
        <v>5234.3035714285697</v>
      </c>
      <c r="L199" s="20">
        <f t="shared" si="3"/>
        <v>57778.524725274721</v>
      </c>
    </row>
    <row r="200" spans="1:12" ht="19.8" x14ac:dyDescent="0.3">
      <c r="A200" s="18">
        <v>45886</v>
      </c>
      <c r="B200" s="19">
        <v>5749.4608516483504</v>
      </c>
      <c r="C200" s="19">
        <v>4880.2854853479803</v>
      </c>
      <c r="D200" s="19">
        <v>6452.7668269230799</v>
      </c>
      <c r="E200" s="19">
        <v>6030.9785943223496</v>
      </c>
      <c r="F200" s="19">
        <v>5078.84844322345</v>
      </c>
      <c r="G200" s="19">
        <v>6268.78456959707</v>
      </c>
      <c r="H200" s="19">
        <v>4690.0557463369996</v>
      </c>
      <c r="I200" s="19">
        <v>6946.8738553113599</v>
      </c>
      <c r="J200" s="19">
        <v>6435.4961080586099</v>
      </c>
      <c r="K200" s="19">
        <v>5228.1279761904798</v>
      </c>
      <c r="L200" s="20">
        <f t="shared" si="3"/>
        <v>57761.678456959722</v>
      </c>
    </row>
    <row r="201" spans="1:12" ht="19.8" x14ac:dyDescent="0.3">
      <c r="A201" s="18">
        <v>45887</v>
      </c>
      <c r="B201" s="19">
        <v>5746.8513736263703</v>
      </c>
      <c r="C201" s="19">
        <v>4872.0947344322303</v>
      </c>
      <c r="D201" s="19">
        <v>6455.9932692307702</v>
      </c>
      <c r="E201" s="19">
        <v>6030.83624084249</v>
      </c>
      <c r="F201" s="19">
        <v>5072.1811584249099</v>
      </c>
      <c r="G201" s="19">
        <v>6271.6343864468899</v>
      </c>
      <c r="H201" s="19">
        <v>4681.8705586080596</v>
      </c>
      <c r="I201" s="19">
        <v>6953.6370650183198</v>
      </c>
      <c r="J201" s="19">
        <v>6437.7810210622702</v>
      </c>
      <c r="K201" s="19">
        <v>5221.9523809523798</v>
      </c>
      <c r="L201" s="20">
        <f t="shared" si="3"/>
        <v>57744.832188644694</v>
      </c>
    </row>
    <row r="202" spans="1:12" ht="19.8" x14ac:dyDescent="0.3">
      <c r="A202" s="18">
        <v>45888</v>
      </c>
      <c r="B202" s="19">
        <v>5744.2418956043903</v>
      </c>
      <c r="C202" s="19">
        <v>4863.9039835164804</v>
      </c>
      <c r="D202" s="19">
        <v>6459.2197115384597</v>
      </c>
      <c r="E202" s="19">
        <v>6030.6938873626405</v>
      </c>
      <c r="F202" s="19">
        <v>5065.5138736263798</v>
      </c>
      <c r="G202" s="19">
        <v>6274.4842032966999</v>
      </c>
      <c r="H202" s="19">
        <v>4673.6853708791195</v>
      </c>
      <c r="I202" s="19">
        <v>6960.4002747252698</v>
      </c>
      <c r="J202" s="19">
        <v>6440.0659340659304</v>
      </c>
      <c r="K202" s="19">
        <v>5215.7767857142899</v>
      </c>
      <c r="L202" s="20">
        <f t="shared" si="3"/>
        <v>57727.985920329658</v>
      </c>
    </row>
    <row r="203" spans="1:12" ht="19.8" x14ac:dyDescent="0.3">
      <c r="A203" s="18">
        <v>45889</v>
      </c>
      <c r="B203" s="19">
        <v>5741.6324175824202</v>
      </c>
      <c r="C203" s="19">
        <v>4855.7132326007304</v>
      </c>
      <c r="D203" s="19">
        <v>6462.4461538461501</v>
      </c>
      <c r="E203" s="19">
        <v>6030.5515338827799</v>
      </c>
      <c r="F203" s="19">
        <v>5058.8465888278397</v>
      </c>
      <c r="G203" s="19">
        <v>6277.3340201465198</v>
      </c>
      <c r="H203" s="19">
        <v>4665.5001831501804</v>
      </c>
      <c r="I203" s="19">
        <v>6967.1634844322298</v>
      </c>
      <c r="J203" s="19">
        <v>6442.3508470695997</v>
      </c>
      <c r="K203" s="19">
        <v>5209.6011904761899</v>
      </c>
      <c r="L203" s="20">
        <f t="shared" si="3"/>
        <v>57711.139652014645</v>
      </c>
    </row>
    <row r="204" spans="1:12" ht="19.8" x14ac:dyDescent="0.3">
      <c r="A204" s="18">
        <v>45890</v>
      </c>
      <c r="B204" s="19">
        <v>5739.0229395604401</v>
      </c>
      <c r="C204" s="19">
        <v>4847.5224816849804</v>
      </c>
      <c r="D204" s="19">
        <v>6465.6725961538496</v>
      </c>
      <c r="E204" s="19">
        <v>6030.4091804029304</v>
      </c>
      <c r="F204" s="19">
        <v>5052.1793040293096</v>
      </c>
      <c r="G204" s="19">
        <v>6280.1838369963398</v>
      </c>
      <c r="H204" s="19">
        <v>4657.3149954212504</v>
      </c>
      <c r="I204" s="19">
        <v>6973.9266941391897</v>
      </c>
      <c r="J204" s="19">
        <v>6444.6357600732599</v>
      </c>
      <c r="K204" s="19">
        <v>5203.4255952381</v>
      </c>
      <c r="L204" s="20">
        <f t="shared" si="3"/>
        <v>57694.293383699645</v>
      </c>
    </row>
    <row r="205" spans="1:12" ht="19.8" x14ac:dyDescent="0.3">
      <c r="A205" s="18">
        <v>45891</v>
      </c>
      <c r="B205" s="19">
        <v>5736.4134615384601</v>
      </c>
      <c r="C205" s="19">
        <v>4839.3317307692296</v>
      </c>
      <c r="D205" s="19">
        <v>6468.8990384615399</v>
      </c>
      <c r="E205" s="19">
        <v>6030.2668269230799</v>
      </c>
      <c r="F205" s="19">
        <v>5045.5120192307704</v>
      </c>
      <c r="G205" s="19">
        <v>6283.0336538461497</v>
      </c>
      <c r="H205" s="19">
        <v>4649.1298076923104</v>
      </c>
      <c r="I205" s="19">
        <v>6980.6899038461497</v>
      </c>
      <c r="J205" s="19">
        <v>6446.9206730769201</v>
      </c>
      <c r="K205" s="19">
        <v>5197.25</v>
      </c>
      <c r="L205" s="20">
        <f t="shared" si="3"/>
        <v>57677.447115384617</v>
      </c>
    </row>
    <row r="206" spans="1:12" ht="19.8" x14ac:dyDescent="0.3">
      <c r="A206" s="18">
        <v>45892</v>
      </c>
      <c r="B206" s="19">
        <v>5733.80398351648</v>
      </c>
      <c r="C206" s="19">
        <v>4831.1409798534796</v>
      </c>
      <c r="D206" s="19">
        <v>6472.1254807692303</v>
      </c>
      <c r="E206" s="19">
        <v>6030.1244734432203</v>
      </c>
      <c r="F206" s="19">
        <v>5038.8447344322403</v>
      </c>
      <c r="G206" s="19">
        <v>6285.8834706959697</v>
      </c>
      <c r="H206" s="19">
        <v>4640.9446199633703</v>
      </c>
      <c r="I206" s="19">
        <v>6987.4531135531097</v>
      </c>
      <c r="J206" s="19">
        <v>6449.2055860805904</v>
      </c>
      <c r="K206" s="19">
        <v>5191.0744047619</v>
      </c>
      <c r="L206" s="20">
        <f t="shared" si="3"/>
        <v>57660.600847069589</v>
      </c>
    </row>
    <row r="207" spans="1:12" ht="19.8" x14ac:dyDescent="0.3">
      <c r="A207" s="18">
        <v>45893</v>
      </c>
      <c r="B207" s="19">
        <v>5731.1945054945099</v>
      </c>
      <c r="C207" s="19">
        <v>4822.9502289377297</v>
      </c>
      <c r="D207" s="19">
        <v>6475.3519230769198</v>
      </c>
      <c r="E207" s="19">
        <v>6029.9821199633698</v>
      </c>
      <c r="F207" s="19">
        <v>5032.1774496337002</v>
      </c>
      <c r="G207" s="19">
        <v>6288.7332875457896</v>
      </c>
      <c r="H207" s="19">
        <v>4632.7594322344303</v>
      </c>
      <c r="I207" s="19">
        <v>6994.2163232600697</v>
      </c>
      <c r="J207" s="19">
        <v>6451.4904990842497</v>
      </c>
      <c r="K207" s="19">
        <v>5184.8988095238101</v>
      </c>
      <c r="L207" s="20">
        <f t="shared" si="3"/>
        <v>57643.754578754575</v>
      </c>
    </row>
    <row r="208" spans="1:12" ht="19.8" x14ac:dyDescent="0.3">
      <c r="A208" s="18">
        <v>45894</v>
      </c>
      <c r="B208" s="19">
        <v>5728.5850274725299</v>
      </c>
      <c r="C208" s="19">
        <v>4814.7594780219697</v>
      </c>
      <c r="D208" s="19">
        <v>6478.5783653846202</v>
      </c>
      <c r="E208" s="19">
        <v>6029.8397664835202</v>
      </c>
      <c r="F208" s="19">
        <v>5025.5101648351701</v>
      </c>
      <c r="G208" s="19">
        <v>6291.5831043955995</v>
      </c>
      <c r="H208" s="19">
        <v>4624.5742445055002</v>
      </c>
      <c r="I208" s="19">
        <v>7000.9795329670296</v>
      </c>
      <c r="J208" s="19">
        <v>6453.7754120879099</v>
      </c>
      <c r="K208" s="19">
        <v>5178.7232142857101</v>
      </c>
      <c r="L208" s="20">
        <f t="shared" si="3"/>
        <v>57626.908310439561</v>
      </c>
    </row>
    <row r="209" spans="1:12" ht="19.8" x14ac:dyDescent="0.3">
      <c r="A209" s="18">
        <v>45895</v>
      </c>
      <c r="B209" s="19">
        <v>5725.9755494505498</v>
      </c>
      <c r="C209" s="19">
        <v>4806.5687271062197</v>
      </c>
      <c r="D209" s="19">
        <v>6481.8048076923096</v>
      </c>
      <c r="E209" s="19">
        <v>6029.6974130036597</v>
      </c>
      <c r="F209" s="19">
        <v>5018.84288003663</v>
      </c>
      <c r="G209" s="19">
        <v>6294.4329212454204</v>
      </c>
      <c r="H209" s="19">
        <v>4616.3890567765602</v>
      </c>
      <c r="I209" s="19">
        <v>7007.7427426739896</v>
      </c>
      <c r="J209" s="19">
        <v>6456.0603250915801</v>
      </c>
      <c r="K209" s="19">
        <v>5172.5476190476202</v>
      </c>
      <c r="L209" s="20">
        <f t="shared" si="3"/>
        <v>57610.06204212454</v>
      </c>
    </row>
    <row r="210" spans="1:12" ht="19.8" x14ac:dyDescent="0.3">
      <c r="A210" s="18">
        <v>45896</v>
      </c>
      <c r="B210" s="19">
        <v>5723.3660714285697</v>
      </c>
      <c r="C210" s="19">
        <v>4798.3779761904698</v>
      </c>
      <c r="D210" s="19">
        <v>6485.03125</v>
      </c>
      <c r="E210" s="19">
        <v>6029.5550595238101</v>
      </c>
      <c r="F210" s="19">
        <v>5012.1755952381</v>
      </c>
      <c r="G210" s="19">
        <v>6297.2827380952403</v>
      </c>
      <c r="H210" s="19">
        <v>4608.2038690476202</v>
      </c>
      <c r="I210" s="19">
        <v>7014.5059523809496</v>
      </c>
      <c r="J210" s="19">
        <v>6458.3452380952403</v>
      </c>
      <c r="K210" s="19">
        <v>5166.3720238095202</v>
      </c>
      <c r="L210" s="20">
        <f t="shared" si="3"/>
        <v>57593.215773809505</v>
      </c>
    </row>
    <row r="211" spans="1:12" ht="19.8" x14ac:dyDescent="0.3">
      <c r="A211" s="18">
        <v>45897</v>
      </c>
      <c r="B211" s="19">
        <v>5720.7565934065897</v>
      </c>
      <c r="C211" s="19">
        <v>4790.1872252747198</v>
      </c>
      <c r="D211" s="19">
        <v>6488.2576923076904</v>
      </c>
      <c r="E211" s="19">
        <v>6029.4127060439596</v>
      </c>
      <c r="F211" s="19">
        <v>5005.5083104395599</v>
      </c>
      <c r="G211" s="19">
        <v>6300.1325549450503</v>
      </c>
      <c r="H211" s="19">
        <v>4600.0186813186801</v>
      </c>
      <c r="I211" s="19">
        <v>7021.2691620879104</v>
      </c>
      <c r="J211" s="19">
        <v>6460.6301510988997</v>
      </c>
      <c r="K211" s="19">
        <v>5160.1964285714303</v>
      </c>
      <c r="L211" s="20">
        <f t="shared" si="3"/>
        <v>57576.369505494491</v>
      </c>
    </row>
    <row r="212" spans="1:12" ht="19.8" x14ac:dyDescent="0.3">
      <c r="A212" s="18">
        <v>45898</v>
      </c>
      <c r="B212" s="19">
        <v>5718.1471153846196</v>
      </c>
      <c r="C212" s="19">
        <v>4781.9964743589699</v>
      </c>
      <c r="D212" s="19">
        <v>6491.4841346153798</v>
      </c>
      <c r="E212" s="19">
        <v>6029.2703525641</v>
      </c>
      <c r="F212" s="19">
        <v>4998.8410256410298</v>
      </c>
      <c r="G212" s="19">
        <v>6302.9823717948702</v>
      </c>
      <c r="H212" s="19">
        <v>4591.8334935897401</v>
      </c>
      <c r="I212" s="19">
        <v>7028.0323717948704</v>
      </c>
      <c r="J212" s="19">
        <v>6462.9150641025599</v>
      </c>
      <c r="K212" s="19">
        <v>5154.0208333333303</v>
      </c>
      <c r="L212" s="20">
        <f t="shared" si="3"/>
        <v>57559.523237179463</v>
      </c>
    </row>
    <row r="213" spans="1:12" ht="19.8" x14ac:dyDescent="0.3">
      <c r="A213" s="18">
        <v>45899</v>
      </c>
      <c r="B213" s="19">
        <v>5715.5376373626405</v>
      </c>
      <c r="C213" s="19">
        <v>4773.8057234432199</v>
      </c>
      <c r="D213" s="19">
        <v>6494.7105769230802</v>
      </c>
      <c r="E213" s="19">
        <v>6029.1279990842504</v>
      </c>
      <c r="F213" s="19">
        <v>4992.1737408424997</v>
      </c>
      <c r="G213" s="19">
        <v>6305.8321886446902</v>
      </c>
      <c r="H213" s="19">
        <v>4583.6483058608101</v>
      </c>
      <c r="I213" s="19">
        <v>7034.7955815018304</v>
      </c>
      <c r="J213" s="19">
        <v>6465.1999771062301</v>
      </c>
      <c r="K213" s="19">
        <v>5147.8452380952403</v>
      </c>
      <c r="L213" s="20">
        <f t="shared" si="3"/>
        <v>57542.676968864485</v>
      </c>
    </row>
    <row r="214" spans="1:12" ht="19.8" x14ac:dyDescent="0.3">
      <c r="A214" s="18">
        <v>45900</v>
      </c>
      <c r="B214" s="19">
        <v>5712.9281593406604</v>
      </c>
      <c r="C214" s="19">
        <v>4765.6149725274699</v>
      </c>
      <c r="D214" s="19">
        <v>6497.9370192307697</v>
      </c>
      <c r="E214" s="19">
        <v>6028.9856456043999</v>
      </c>
      <c r="F214" s="19">
        <v>4985.5064560439596</v>
      </c>
      <c r="G214" s="19">
        <v>6308.6820054945101</v>
      </c>
      <c r="H214" s="19">
        <v>4575.46311813187</v>
      </c>
      <c r="I214" s="19">
        <v>7041.5587912087904</v>
      </c>
      <c r="J214" s="19">
        <v>6467.4848901098903</v>
      </c>
      <c r="K214" s="19">
        <v>5141.6696428571404</v>
      </c>
      <c r="L214" s="20">
        <f t="shared" si="3"/>
        <v>57525.83070054945</v>
      </c>
    </row>
    <row r="215" spans="1:12" ht="19.8" x14ac:dyDescent="0.3">
      <c r="A215" s="18">
        <v>45901</v>
      </c>
      <c r="B215" s="19">
        <v>5710.3186813186803</v>
      </c>
      <c r="C215" s="19">
        <v>4757.42422161172</v>
      </c>
      <c r="D215" s="19">
        <v>6501.1634615384601</v>
      </c>
      <c r="E215" s="19">
        <v>6028.8432921245403</v>
      </c>
      <c r="F215" s="19">
        <v>4978.8391712454304</v>
      </c>
      <c r="G215" s="19">
        <v>6311.5318223443201</v>
      </c>
      <c r="H215" s="19">
        <v>4567.27793040293</v>
      </c>
      <c r="I215" s="19">
        <v>7048.3220009157503</v>
      </c>
      <c r="J215" s="19">
        <v>6469.7698031135496</v>
      </c>
      <c r="K215" s="19">
        <v>5135.4940476190504</v>
      </c>
      <c r="L215" s="20">
        <f t="shared" si="3"/>
        <v>57508.984432234436</v>
      </c>
    </row>
    <row r="216" spans="1:12" ht="19.8" x14ac:dyDescent="0.3">
      <c r="A216" s="18">
        <v>45902</v>
      </c>
      <c r="B216" s="19">
        <v>5707.7092032967003</v>
      </c>
      <c r="C216" s="19">
        <v>4749.23347069597</v>
      </c>
      <c r="D216" s="19">
        <v>6504.3899038461504</v>
      </c>
      <c r="E216" s="19">
        <v>6028.7009386446898</v>
      </c>
      <c r="F216" s="19">
        <v>4972.1718864468903</v>
      </c>
      <c r="G216" s="19">
        <v>6314.38163919414</v>
      </c>
      <c r="H216" s="19">
        <v>4559.09274267399</v>
      </c>
      <c r="I216" s="19">
        <v>7055.0852106227103</v>
      </c>
      <c r="J216" s="19">
        <v>6472.0547161172199</v>
      </c>
      <c r="K216" s="19">
        <v>5129.3184523809496</v>
      </c>
      <c r="L216" s="20">
        <f t="shared" si="3"/>
        <v>57492.138163919408</v>
      </c>
    </row>
    <row r="217" spans="1:12" ht="19.8" x14ac:dyDescent="0.3">
      <c r="A217" s="18">
        <v>45903</v>
      </c>
      <c r="B217" s="19">
        <v>5705.0997252747202</v>
      </c>
      <c r="C217" s="19">
        <v>4741.0427197802201</v>
      </c>
      <c r="D217" s="19">
        <v>6507.6163461538499</v>
      </c>
      <c r="E217" s="19">
        <v>6028.5585851648402</v>
      </c>
      <c r="F217" s="19">
        <v>4965.5046016483602</v>
      </c>
      <c r="G217" s="19">
        <v>6317.23145604396</v>
      </c>
      <c r="H217" s="19">
        <v>4550.9075549450599</v>
      </c>
      <c r="I217" s="19">
        <v>7061.8484203296703</v>
      </c>
      <c r="J217" s="19">
        <v>6474.3396291208801</v>
      </c>
      <c r="K217" s="19">
        <v>5123.1428571428596</v>
      </c>
      <c r="L217" s="20">
        <f t="shared" si="3"/>
        <v>57475.291895604416</v>
      </c>
    </row>
    <row r="218" spans="1:12" ht="19.8" x14ac:dyDescent="0.3">
      <c r="A218" s="18">
        <v>45904</v>
      </c>
      <c r="B218" s="19">
        <v>5702.4902472527501</v>
      </c>
      <c r="C218" s="19">
        <v>4732.8519688644701</v>
      </c>
      <c r="D218" s="19">
        <v>6510.8427884615403</v>
      </c>
      <c r="E218" s="19">
        <v>6028.4162316849797</v>
      </c>
      <c r="F218" s="19">
        <v>4958.8373168498201</v>
      </c>
      <c r="G218" s="19">
        <v>6320.0812728937699</v>
      </c>
      <c r="H218" s="19">
        <v>4542.7223672161199</v>
      </c>
      <c r="I218" s="19">
        <v>7068.6116300366302</v>
      </c>
      <c r="J218" s="19">
        <v>6476.6245421245403</v>
      </c>
      <c r="K218" s="19">
        <v>5116.9672619047597</v>
      </c>
      <c r="L218" s="20">
        <f t="shared" si="3"/>
        <v>57458.445627289388</v>
      </c>
    </row>
    <row r="219" spans="1:12" ht="19.8" x14ac:dyDescent="0.3">
      <c r="A219" s="18">
        <v>45905</v>
      </c>
      <c r="B219" s="19">
        <v>5699.8807692307701</v>
      </c>
      <c r="C219" s="19">
        <v>4724.6612179487101</v>
      </c>
      <c r="D219" s="19">
        <v>6514.0692307692298</v>
      </c>
      <c r="E219" s="19">
        <v>6028.2738782051301</v>
      </c>
      <c r="F219" s="19">
        <v>4952.17003205129</v>
      </c>
      <c r="G219" s="19">
        <v>6322.9310897435898</v>
      </c>
      <c r="H219" s="19">
        <v>4534.5371794871799</v>
      </c>
      <c r="I219" s="19">
        <v>7075.3748397435902</v>
      </c>
      <c r="J219" s="19">
        <v>6478.9094551282096</v>
      </c>
      <c r="K219" s="19">
        <v>5110.7916666666697</v>
      </c>
      <c r="L219" s="20">
        <f t="shared" si="3"/>
        <v>57441.599358974381</v>
      </c>
    </row>
    <row r="220" spans="1:12" ht="19.8" x14ac:dyDescent="0.3">
      <c r="A220" s="18">
        <v>45906</v>
      </c>
      <c r="B220" s="19">
        <v>5697.27129120879</v>
      </c>
      <c r="C220" s="19">
        <v>4716.4704670329602</v>
      </c>
      <c r="D220" s="19">
        <v>6517.2956730769201</v>
      </c>
      <c r="E220" s="19">
        <v>6028.1315247252796</v>
      </c>
      <c r="F220" s="19">
        <v>4945.5027472527499</v>
      </c>
      <c r="G220" s="19">
        <v>6325.7809065934098</v>
      </c>
      <c r="H220" s="19">
        <v>4526.3519917582398</v>
      </c>
      <c r="I220" s="19">
        <v>7082.1380494505502</v>
      </c>
      <c r="J220" s="19">
        <v>6481.1943681318699</v>
      </c>
      <c r="K220" s="19">
        <v>5104.6160714285697</v>
      </c>
      <c r="L220" s="20">
        <f t="shared" si="3"/>
        <v>57424.753090659338</v>
      </c>
    </row>
    <row r="221" spans="1:12" ht="19.8" x14ac:dyDescent="0.3">
      <c r="A221" s="18">
        <v>45907</v>
      </c>
      <c r="B221" s="19">
        <v>5694.6618131868099</v>
      </c>
      <c r="C221" s="19">
        <v>4708.2797161172102</v>
      </c>
      <c r="D221" s="19">
        <v>6520.5221153846196</v>
      </c>
      <c r="E221" s="19">
        <v>6027.98917124542</v>
      </c>
      <c r="F221" s="19">
        <v>4938.8354624542199</v>
      </c>
      <c r="G221" s="19">
        <v>6328.6307234432197</v>
      </c>
      <c r="H221" s="19">
        <v>4518.1668040292998</v>
      </c>
      <c r="I221" s="19">
        <v>7088.9012591575101</v>
      </c>
      <c r="J221" s="19">
        <v>6483.4792811355301</v>
      </c>
      <c r="K221" s="19">
        <v>5098.4404761904798</v>
      </c>
      <c r="L221" s="20">
        <f t="shared" si="3"/>
        <v>57407.906822344317</v>
      </c>
    </row>
    <row r="222" spans="1:12" ht="19.8" x14ac:dyDescent="0.3">
      <c r="A222" s="18">
        <v>45908</v>
      </c>
      <c r="B222" s="19">
        <v>5692.0523351648399</v>
      </c>
      <c r="C222" s="19">
        <v>4700.0889652014603</v>
      </c>
      <c r="D222" s="19">
        <v>6523.74855769231</v>
      </c>
      <c r="E222" s="19">
        <v>6027.8468177655704</v>
      </c>
      <c r="F222" s="19">
        <v>4932.1681776556798</v>
      </c>
      <c r="G222" s="19">
        <v>6331.4805402930397</v>
      </c>
      <c r="H222" s="19">
        <v>4509.9816163003698</v>
      </c>
      <c r="I222" s="19">
        <v>7095.6644688644701</v>
      </c>
      <c r="J222" s="19">
        <v>6485.7641941391903</v>
      </c>
      <c r="K222" s="19">
        <v>5092.2648809523798</v>
      </c>
      <c r="L222" s="20">
        <f t="shared" si="3"/>
        <v>57391.060554029318</v>
      </c>
    </row>
    <row r="223" spans="1:12" ht="19.8" x14ac:dyDescent="0.3">
      <c r="A223" s="18">
        <v>45909</v>
      </c>
      <c r="B223" s="19">
        <v>5689.4428571428598</v>
      </c>
      <c r="C223" s="19">
        <v>4691.8982142857103</v>
      </c>
      <c r="D223" s="19">
        <v>6526.9750000000004</v>
      </c>
      <c r="E223" s="19">
        <v>6027.70446428572</v>
      </c>
      <c r="F223" s="19">
        <v>4925.5008928571497</v>
      </c>
      <c r="G223" s="19">
        <v>6334.3303571428596</v>
      </c>
      <c r="H223" s="19">
        <v>4501.7964285714297</v>
      </c>
      <c r="I223" s="19">
        <v>7102.4276785714301</v>
      </c>
      <c r="J223" s="19">
        <v>6488.0491071428596</v>
      </c>
      <c r="K223" s="19">
        <v>5086.0892857142899</v>
      </c>
      <c r="L223" s="20">
        <f t="shared" si="3"/>
        <v>57374.214285714312</v>
      </c>
    </row>
    <row r="224" spans="1:12" ht="19.8" x14ac:dyDescent="0.3">
      <c r="A224" s="18">
        <v>45910</v>
      </c>
      <c r="B224" s="19">
        <v>5686.8333791208797</v>
      </c>
      <c r="C224" s="19">
        <v>4683.7074633699604</v>
      </c>
      <c r="D224" s="19">
        <v>6530.2014423076898</v>
      </c>
      <c r="E224" s="19">
        <v>6027.5621108058604</v>
      </c>
      <c r="F224" s="19">
        <v>4918.8336080586096</v>
      </c>
      <c r="G224" s="19">
        <v>6337.1801739926696</v>
      </c>
      <c r="H224" s="19">
        <v>4493.6112408424897</v>
      </c>
      <c r="I224" s="19">
        <v>7109.19088827839</v>
      </c>
      <c r="J224" s="19">
        <v>6490.3340201465198</v>
      </c>
      <c r="K224" s="19">
        <v>5079.9136904761899</v>
      </c>
      <c r="L224" s="20">
        <f t="shared" si="3"/>
        <v>57357.368017399254</v>
      </c>
    </row>
    <row r="225" spans="1:12" ht="19.8" x14ac:dyDescent="0.3">
      <c r="A225" s="18">
        <v>45911</v>
      </c>
      <c r="B225" s="19">
        <v>5684.2239010988997</v>
      </c>
      <c r="C225" s="19">
        <v>4675.5167124542104</v>
      </c>
      <c r="D225" s="19">
        <v>6533.4278846153802</v>
      </c>
      <c r="E225" s="19">
        <v>6027.4197573260099</v>
      </c>
      <c r="F225" s="19">
        <v>4912.1663232600804</v>
      </c>
      <c r="G225" s="19">
        <v>6340.0299908424904</v>
      </c>
      <c r="H225" s="19">
        <v>4485.4260531135496</v>
      </c>
      <c r="I225" s="19">
        <v>7115.95409798535</v>
      </c>
      <c r="J225" s="19">
        <v>6492.6189331501801</v>
      </c>
      <c r="K225" s="19">
        <v>5073.7380952381</v>
      </c>
      <c r="L225" s="20">
        <f t="shared" si="3"/>
        <v>57340.521749084248</v>
      </c>
    </row>
    <row r="226" spans="1:12" ht="19.8" x14ac:dyDescent="0.3">
      <c r="A226" s="18">
        <v>45912</v>
      </c>
      <c r="B226" s="19">
        <v>5681.6144230769196</v>
      </c>
      <c r="C226" s="19">
        <v>4667.3259615384604</v>
      </c>
      <c r="D226" s="19">
        <v>6536.6543269230797</v>
      </c>
      <c r="E226" s="19">
        <v>6027.2774038461503</v>
      </c>
      <c r="F226" s="19">
        <v>4905.4990384615403</v>
      </c>
      <c r="G226" s="19">
        <v>6342.8798076923104</v>
      </c>
      <c r="H226" s="19">
        <v>4477.2408653846196</v>
      </c>
      <c r="I226" s="19">
        <v>7122.71730769231</v>
      </c>
      <c r="J226" s="19">
        <v>6494.9038461538503</v>
      </c>
      <c r="K226" s="19">
        <v>5067.5625</v>
      </c>
      <c r="L226" s="20">
        <f t="shared" si="3"/>
        <v>57323.675480769241</v>
      </c>
    </row>
    <row r="227" spans="1:12" ht="19.8" x14ac:dyDescent="0.3">
      <c r="A227" s="18">
        <v>45913</v>
      </c>
      <c r="B227" s="19">
        <v>5679.0049450549404</v>
      </c>
      <c r="C227" s="19">
        <v>4659.1352106227096</v>
      </c>
      <c r="D227" s="19">
        <v>6539.8807692307701</v>
      </c>
      <c r="E227" s="19">
        <v>6027.1350503662998</v>
      </c>
      <c r="F227" s="19">
        <v>4898.8317536630102</v>
      </c>
      <c r="G227" s="19">
        <v>6345.7296245421203</v>
      </c>
      <c r="H227" s="19">
        <v>4469.0556776556796</v>
      </c>
      <c r="I227" s="19">
        <v>7129.48051739927</v>
      </c>
      <c r="J227" s="19">
        <v>6497.1887591575096</v>
      </c>
      <c r="K227" s="19">
        <v>5061.38690476191</v>
      </c>
      <c r="L227" s="20">
        <f t="shared" si="3"/>
        <v>57306.829212454213</v>
      </c>
    </row>
    <row r="228" spans="1:12" ht="19.8" x14ac:dyDescent="0.3">
      <c r="A228" s="18">
        <v>45914</v>
      </c>
      <c r="B228" s="19">
        <v>5676.3954670329704</v>
      </c>
      <c r="C228" s="19">
        <v>4650.9444597069596</v>
      </c>
      <c r="D228" s="19">
        <v>6543.1072115384604</v>
      </c>
      <c r="E228" s="19">
        <v>6026.9926968864502</v>
      </c>
      <c r="F228" s="19">
        <v>4892.1644688644701</v>
      </c>
      <c r="G228" s="19">
        <v>6348.5794413919402</v>
      </c>
      <c r="H228" s="19">
        <v>4460.8704899267404</v>
      </c>
      <c r="I228" s="19">
        <v>7136.2437271062299</v>
      </c>
      <c r="J228" s="19">
        <v>6499.4736721611698</v>
      </c>
      <c r="K228" s="19">
        <v>5055.2113095238101</v>
      </c>
      <c r="L228" s="20">
        <f t="shared" si="3"/>
        <v>57289.982944139199</v>
      </c>
    </row>
    <row r="229" spans="1:12" ht="19.8" x14ac:dyDescent="0.3">
      <c r="A229" s="18">
        <v>45915</v>
      </c>
      <c r="B229" s="19">
        <v>5673.7859890109903</v>
      </c>
      <c r="C229" s="19">
        <v>4642.7537087912096</v>
      </c>
      <c r="D229" s="19">
        <v>6546.3336538461499</v>
      </c>
      <c r="E229" s="19">
        <v>6026.8503434065897</v>
      </c>
      <c r="F229" s="19">
        <v>4885.49718406594</v>
      </c>
      <c r="G229" s="19">
        <v>6351.4292582417602</v>
      </c>
      <c r="H229" s="19">
        <v>4452.6853021978004</v>
      </c>
      <c r="I229" s="19">
        <v>7143.0069368131899</v>
      </c>
      <c r="J229" s="19">
        <v>6501.75858516484</v>
      </c>
      <c r="K229" s="19">
        <v>5049.0357142857101</v>
      </c>
      <c r="L229" s="20">
        <f t="shared" si="3"/>
        <v>57273.136675824178</v>
      </c>
    </row>
    <row r="230" spans="1:12" ht="19.8" x14ac:dyDescent="0.3">
      <c r="A230" s="18">
        <v>45916</v>
      </c>
      <c r="B230" s="19">
        <v>5671.1765109890102</v>
      </c>
      <c r="C230" s="19">
        <v>4634.5629578754497</v>
      </c>
      <c r="D230" s="19">
        <v>6549.5600961538503</v>
      </c>
      <c r="E230" s="19">
        <v>6026.7079899267401</v>
      </c>
      <c r="F230" s="19">
        <v>4878.8298992673999</v>
      </c>
      <c r="G230" s="19">
        <v>6354.2790750915701</v>
      </c>
      <c r="H230" s="19">
        <v>4444.5001144688704</v>
      </c>
      <c r="I230" s="19">
        <v>7149.7701465201499</v>
      </c>
      <c r="J230" s="19">
        <v>6504.0434981685003</v>
      </c>
      <c r="K230" s="19">
        <v>5042.8601190476202</v>
      </c>
      <c r="L230" s="20">
        <f t="shared" si="3"/>
        <v>57256.290407509172</v>
      </c>
    </row>
    <row r="231" spans="1:12" ht="19.8" x14ac:dyDescent="0.3">
      <c r="A231" s="18">
        <v>45917</v>
      </c>
      <c r="B231" s="19">
        <v>5668.5670329670302</v>
      </c>
      <c r="C231" s="19">
        <v>4626.3722069596997</v>
      </c>
      <c r="D231" s="19">
        <v>6552.7865384615397</v>
      </c>
      <c r="E231" s="19">
        <v>6026.5656364468896</v>
      </c>
      <c r="F231" s="19">
        <v>4872.1626144688698</v>
      </c>
      <c r="G231" s="19">
        <v>6357.1288919413901</v>
      </c>
      <c r="H231" s="19">
        <v>4436.3149267399303</v>
      </c>
      <c r="I231" s="19">
        <v>7156.5333562271098</v>
      </c>
      <c r="J231" s="19">
        <v>6506.3284111721596</v>
      </c>
      <c r="K231" s="19">
        <v>5036.6845238095202</v>
      </c>
      <c r="L231" s="20">
        <f t="shared" si="3"/>
        <v>57239.444139194136</v>
      </c>
    </row>
    <row r="232" spans="1:12" ht="19.8" x14ac:dyDescent="0.3">
      <c r="A232" s="18">
        <v>45918</v>
      </c>
      <c r="B232" s="19">
        <v>5665.9575549450501</v>
      </c>
      <c r="C232" s="19">
        <v>4618.1814560439498</v>
      </c>
      <c r="D232" s="19">
        <v>6556.0129807692301</v>
      </c>
      <c r="E232" s="19">
        <v>6026.42328296703</v>
      </c>
      <c r="F232" s="19">
        <v>4865.4953296703297</v>
      </c>
      <c r="G232" s="19">
        <v>6359.97870879121</v>
      </c>
      <c r="H232" s="19">
        <v>4428.1297390109903</v>
      </c>
      <c r="I232" s="19">
        <v>7163.2965659340698</v>
      </c>
      <c r="J232" s="19">
        <v>6508.6133241758198</v>
      </c>
      <c r="K232" s="19">
        <v>5030.5089285714303</v>
      </c>
      <c r="L232" s="20">
        <f t="shared" si="3"/>
        <v>57222.597870879108</v>
      </c>
    </row>
    <row r="233" spans="1:12" ht="19.8" x14ac:dyDescent="0.3">
      <c r="A233" s="18">
        <v>45919</v>
      </c>
      <c r="B233" s="19">
        <v>5663.34807692308</v>
      </c>
      <c r="C233" s="19">
        <v>4609.9907051281998</v>
      </c>
      <c r="D233" s="19">
        <v>6559.2394230769196</v>
      </c>
      <c r="E233" s="19">
        <v>6026.2809294871804</v>
      </c>
      <c r="F233" s="19">
        <v>4858.8280448717996</v>
      </c>
      <c r="G233" s="19">
        <v>6362.82852564103</v>
      </c>
      <c r="H233" s="19">
        <v>4419.9445512820503</v>
      </c>
      <c r="I233" s="19">
        <v>7170.0597756410298</v>
      </c>
      <c r="J233" s="19">
        <v>6510.89823717949</v>
      </c>
      <c r="K233" s="19">
        <v>5024.3333333333303</v>
      </c>
      <c r="L233" s="20">
        <f t="shared" si="3"/>
        <v>57205.751602564109</v>
      </c>
    </row>
    <row r="234" spans="1:12" ht="19.8" x14ac:dyDescent="0.3">
      <c r="A234" s="18">
        <v>45920</v>
      </c>
      <c r="B234" s="19">
        <v>5660.7385989011</v>
      </c>
      <c r="C234" s="19">
        <v>4601.7999542124498</v>
      </c>
      <c r="D234" s="19">
        <v>6562.46586538462</v>
      </c>
      <c r="E234" s="19">
        <v>6026.1385760073299</v>
      </c>
      <c r="F234" s="19">
        <v>4852.1607600732596</v>
      </c>
      <c r="G234" s="19">
        <v>6365.6783424908399</v>
      </c>
      <c r="H234" s="19">
        <v>4411.7593635531102</v>
      </c>
      <c r="I234" s="19">
        <v>7176.8229853479897</v>
      </c>
      <c r="J234" s="19">
        <v>6513.1831501831502</v>
      </c>
      <c r="K234" s="19">
        <v>5018.1577380952403</v>
      </c>
      <c r="L234" s="20">
        <f t="shared" si="3"/>
        <v>57188.905334249081</v>
      </c>
    </row>
    <row r="235" spans="1:12" ht="19.8" x14ac:dyDescent="0.3">
      <c r="A235" s="18">
        <v>45921</v>
      </c>
      <c r="B235" s="19">
        <v>5658.1291208791199</v>
      </c>
      <c r="C235" s="19">
        <v>4593.6092032966999</v>
      </c>
      <c r="D235" s="19">
        <v>6565.6923076923104</v>
      </c>
      <c r="E235" s="19">
        <v>6025.9962225274703</v>
      </c>
      <c r="F235" s="19">
        <v>4845.4934752747304</v>
      </c>
      <c r="G235" s="19">
        <v>6368.5281593406598</v>
      </c>
      <c r="H235" s="19">
        <v>4403.5741758241802</v>
      </c>
      <c r="I235" s="19">
        <v>7183.5861950549497</v>
      </c>
      <c r="J235" s="19">
        <v>6515.4680631868096</v>
      </c>
      <c r="K235" s="19">
        <v>5011.9821428571404</v>
      </c>
      <c r="L235" s="20">
        <f t="shared" si="3"/>
        <v>57172.059065934067</v>
      </c>
    </row>
    <row r="236" spans="1:12" ht="19.8" x14ac:dyDescent="0.3">
      <c r="A236" s="18">
        <v>45922</v>
      </c>
      <c r="B236" s="19">
        <v>5655.5196428571398</v>
      </c>
      <c r="C236" s="19">
        <v>4585.4184523809499</v>
      </c>
      <c r="D236" s="19">
        <v>6568.9187499999998</v>
      </c>
      <c r="E236" s="19">
        <v>6025.8538690476198</v>
      </c>
      <c r="F236" s="19">
        <v>4838.8261904761903</v>
      </c>
      <c r="G236" s="19">
        <v>6371.3779761904798</v>
      </c>
      <c r="H236" s="19">
        <v>4395.3889880952402</v>
      </c>
      <c r="I236" s="19">
        <v>7190.3494047618997</v>
      </c>
      <c r="J236" s="19">
        <v>6517.7529761904798</v>
      </c>
      <c r="K236" s="19">
        <v>5005.8065476190504</v>
      </c>
      <c r="L236" s="20">
        <f t="shared" si="3"/>
        <v>57155.212797619053</v>
      </c>
    </row>
    <row r="237" spans="1:12" ht="19.8" x14ac:dyDescent="0.3">
      <c r="A237" s="18">
        <v>45923</v>
      </c>
      <c r="B237" s="19">
        <v>5652.9101648351598</v>
      </c>
      <c r="C237" s="19">
        <v>4577.2277014652</v>
      </c>
      <c r="D237" s="19">
        <v>6572.1451923076902</v>
      </c>
      <c r="E237" s="19">
        <v>6025.7115155677702</v>
      </c>
      <c r="F237" s="19">
        <v>4832.1589056776602</v>
      </c>
      <c r="G237" s="19">
        <v>6374.2277930402897</v>
      </c>
      <c r="H237" s="19">
        <v>4387.2038003663001</v>
      </c>
      <c r="I237" s="19">
        <v>7197.1126144688596</v>
      </c>
      <c r="J237" s="19">
        <v>6520.03788919414</v>
      </c>
      <c r="K237" s="19">
        <v>4999.6309523809496</v>
      </c>
      <c r="L237" s="20">
        <f t="shared" si="3"/>
        <v>57138.36652930401</v>
      </c>
    </row>
    <row r="238" spans="1:12" ht="19.8" x14ac:dyDescent="0.3">
      <c r="A238" s="18">
        <v>45924</v>
      </c>
      <c r="B238" s="19">
        <v>5650.3006868131897</v>
      </c>
      <c r="C238" s="19">
        <v>4569.03695054945</v>
      </c>
      <c r="D238" s="19">
        <v>6575.3716346153797</v>
      </c>
      <c r="E238" s="19">
        <v>6025.5691620879097</v>
      </c>
      <c r="F238" s="19">
        <v>4825.4916208791301</v>
      </c>
      <c r="G238" s="19">
        <v>6377.0776098901097</v>
      </c>
      <c r="H238" s="19">
        <v>4379.0186126373601</v>
      </c>
      <c r="I238" s="19">
        <v>7203.8758241758196</v>
      </c>
      <c r="J238" s="19">
        <v>6522.3228021978002</v>
      </c>
      <c r="K238" s="19">
        <v>4993.4553571428596</v>
      </c>
      <c r="L238" s="20">
        <f t="shared" si="3"/>
        <v>57121.520260989004</v>
      </c>
    </row>
    <row r="239" spans="1:12" ht="19.8" x14ac:dyDescent="0.3">
      <c r="A239" s="18">
        <v>45925</v>
      </c>
      <c r="B239" s="19">
        <v>5647.6912087912096</v>
      </c>
      <c r="C239" s="19">
        <v>4560.8461996337001</v>
      </c>
      <c r="D239" s="19">
        <v>6578.59807692308</v>
      </c>
      <c r="E239" s="19">
        <v>6025.4268086080601</v>
      </c>
      <c r="F239" s="19">
        <v>4818.82433608059</v>
      </c>
      <c r="G239" s="19">
        <v>6379.9274267399296</v>
      </c>
      <c r="H239" s="19">
        <v>4370.8334249084301</v>
      </c>
      <c r="I239" s="19">
        <v>7210.6390338827796</v>
      </c>
      <c r="J239" s="19">
        <v>6524.6077152014605</v>
      </c>
      <c r="K239" s="19">
        <v>4987.2797619047597</v>
      </c>
      <c r="L239" s="20">
        <f t="shared" si="3"/>
        <v>57104.673992673997</v>
      </c>
    </row>
    <row r="240" spans="1:12" ht="19.8" x14ac:dyDescent="0.3">
      <c r="A240" s="18">
        <v>45926</v>
      </c>
      <c r="B240" s="19">
        <v>5645.0817307692296</v>
      </c>
      <c r="C240" s="19">
        <v>4552.6554487179501</v>
      </c>
      <c r="D240" s="19">
        <v>6581.8245192307704</v>
      </c>
      <c r="E240" s="19">
        <v>6025.2844551282096</v>
      </c>
      <c r="F240" s="19">
        <v>4812.1570512820599</v>
      </c>
      <c r="G240" s="19">
        <v>6382.7772435897396</v>
      </c>
      <c r="H240" s="19">
        <v>4362.64823717949</v>
      </c>
      <c r="I240" s="19">
        <v>7217.4022435897396</v>
      </c>
      <c r="J240" s="19">
        <v>6526.8926282051298</v>
      </c>
      <c r="K240" s="19">
        <v>4981.1041666666697</v>
      </c>
      <c r="L240" s="20">
        <f t="shared" si="3"/>
        <v>57087.827724358998</v>
      </c>
    </row>
    <row r="241" spans="1:12" ht="19.8" x14ac:dyDescent="0.3">
      <c r="A241" s="18">
        <v>45927</v>
      </c>
      <c r="B241" s="19">
        <v>5642.4722527472504</v>
      </c>
      <c r="C241" s="19">
        <v>4544.4646978021901</v>
      </c>
      <c r="D241" s="19">
        <v>6585.0509615384599</v>
      </c>
      <c r="E241" s="19">
        <v>6025.14210164835</v>
      </c>
      <c r="F241" s="19">
        <v>4805.4897664835198</v>
      </c>
      <c r="G241" s="19">
        <v>6385.6270604395604</v>
      </c>
      <c r="H241" s="19">
        <v>4354.46304945055</v>
      </c>
      <c r="I241" s="19">
        <v>7224.1654532967004</v>
      </c>
      <c r="J241" s="19">
        <v>6529.17754120879</v>
      </c>
      <c r="K241" s="19">
        <v>4974.9285714285697</v>
      </c>
      <c r="L241" s="20">
        <f t="shared" si="3"/>
        <v>57070.981456043934</v>
      </c>
    </row>
    <row r="242" spans="1:12" ht="19.8" x14ac:dyDescent="0.3">
      <c r="A242" s="18">
        <v>45928</v>
      </c>
      <c r="B242" s="19">
        <v>5639.8627747252704</v>
      </c>
      <c r="C242" s="19">
        <v>4536.2739468864402</v>
      </c>
      <c r="D242" s="19">
        <v>6588.2774038461503</v>
      </c>
      <c r="E242" s="19">
        <v>6024.9997481685004</v>
      </c>
      <c r="F242" s="19">
        <v>4798.8224816849897</v>
      </c>
      <c r="G242" s="19">
        <v>6388.4768772893804</v>
      </c>
      <c r="H242" s="19">
        <v>4346.27786172161</v>
      </c>
      <c r="I242" s="19">
        <v>7230.9286630036604</v>
      </c>
      <c r="J242" s="19">
        <v>6531.4624542124502</v>
      </c>
      <c r="K242" s="19">
        <v>4968.7529761904798</v>
      </c>
      <c r="L242" s="20">
        <f t="shared" si="3"/>
        <v>57054.135187728934</v>
      </c>
    </row>
    <row r="243" spans="1:12" ht="19.8" x14ac:dyDescent="0.3">
      <c r="A243" s="18">
        <v>45929</v>
      </c>
      <c r="B243" s="19">
        <v>5637.2532967033003</v>
      </c>
      <c r="C243" s="19">
        <v>4528.0831959706902</v>
      </c>
      <c r="D243" s="19">
        <v>6591.5038461538497</v>
      </c>
      <c r="E243" s="19">
        <v>6024.8573946886499</v>
      </c>
      <c r="F243" s="19">
        <v>4792.1551968864496</v>
      </c>
      <c r="G243" s="19">
        <v>6391.3266941391903</v>
      </c>
      <c r="H243" s="19">
        <v>4338.0926739926699</v>
      </c>
      <c r="I243" s="19">
        <v>7237.6918727106204</v>
      </c>
      <c r="J243" s="19">
        <v>6533.7473672161204</v>
      </c>
      <c r="K243" s="19">
        <v>4962.5773809523798</v>
      </c>
      <c r="L243" s="20">
        <f t="shared" si="3"/>
        <v>57037.288919413921</v>
      </c>
    </row>
    <row r="244" spans="1:12" ht="19.8" x14ac:dyDescent="0.3">
      <c r="A244" s="18">
        <v>45930</v>
      </c>
      <c r="B244" s="19">
        <v>5634.6438186813202</v>
      </c>
      <c r="C244" s="19">
        <v>4519.8924450549403</v>
      </c>
      <c r="D244" s="19">
        <v>6594.7302884615401</v>
      </c>
      <c r="E244" s="19">
        <v>6024.7150412087904</v>
      </c>
      <c r="F244" s="19">
        <v>4785.4879120879204</v>
      </c>
      <c r="G244" s="19">
        <v>6394.1765109890102</v>
      </c>
      <c r="H244" s="19">
        <v>4329.9074862637399</v>
      </c>
      <c r="I244" s="19">
        <v>7244.4550824175803</v>
      </c>
      <c r="J244" s="19">
        <v>6536.0322802197798</v>
      </c>
      <c r="K244" s="19">
        <v>4956.4017857142899</v>
      </c>
      <c r="L244" s="20">
        <f t="shared" si="3"/>
        <v>57020.442651098907</v>
      </c>
    </row>
    <row r="245" spans="1:12" ht="19.8" x14ac:dyDescent="0.3">
      <c r="A245" s="18">
        <v>45931</v>
      </c>
      <c r="B245" s="19">
        <v>5632.0343406593402</v>
      </c>
      <c r="C245" s="19">
        <v>4511.7016941391903</v>
      </c>
      <c r="D245" s="19">
        <v>6597.9567307692296</v>
      </c>
      <c r="E245" s="19">
        <v>6024.5726877289399</v>
      </c>
      <c r="F245" s="19">
        <v>4778.8206272893804</v>
      </c>
      <c r="G245" s="19">
        <v>6397.0263278388302</v>
      </c>
      <c r="H245" s="19">
        <v>4321.7222985347998</v>
      </c>
      <c r="I245" s="19">
        <v>7251.2182921245403</v>
      </c>
      <c r="J245" s="19">
        <v>6538.31719322344</v>
      </c>
      <c r="K245" s="19">
        <v>4950.2261904761899</v>
      </c>
      <c r="L245" s="20">
        <f t="shared" si="3"/>
        <v>57003.596382783879</v>
      </c>
    </row>
    <row r="246" spans="1:12" ht="19.8" x14ac:dyDescent="0.3">
      <c r="A246" s="18">
        <v>45932</v>
      </c>
      <c r="B246" s="19">
        <v>5629.4248626373601</v>
      </c>
      <c r="C246" s="19">
        <v>4503.5109432234403</v>
      </c>
      <c r="D246" s="19">
        <v>6601.18317307692</v>
      </c>
      <c r="E246" s="19">
        <v>6024.4303342490803</v>
      </c>
      <c r="F246" s="19">
        <v>4772.1533424908503</v>
      </c>
      <c r="G246" s="19">
        <v>6399.8761446886401</v>
      </c>
      <c r="H246" s="19">
        <v>4313.5371108058598</v>
      </c>
      <c r="I246" s="19">
        <v>7257.9815018315003</v>
      </c>
      <c r="J246" s="19">
        <v>6540.6021062271102</v>
      </c>
      <c r="K246" s="19">
        <v>4944.0505952381</v>
      </c>
      <c r="L246" s="20">
        <f t="shared" si="3"/>
        <v>56986.750114468858</v>
      </c>
    </row>
    <row r="247" spans="1:12" ht="19.8" x14ac:dyDescent="0.3">
      <c r="A247" s="18">
        <v>45933</v>
      </c>
      <c r="B247" s="19">
        <v>5626.81538461538</v>
      </c>
      <c r="C247" s="19">
        <v>4495.3201923076904</v>
      </c>
      <c r="D247" s="19">
        <v>6604.4096153846103</v>
      </c>
      <c r="E247" s="19">
        <v>6024.2879807692298</v>
      </c>
      <c r="F247" s="19">
        <v>4765.4860576923102</v>
      </c>
      <c r="G247" s="19">
        <v>6402.7259615384601</v>
      </c>
      <c r="H247" s="19">
        <v>4305.3519230769198</v>
      </c>
      <c r="I247" s="19">
        <v>7264.7447115384603</v>
      </c>
      <c r="J247" s="19">
        <v>6542.8870192307704</v>
      </c>
      <c r="K247" s="19">
        <v>4937.875</v>
      </c>
      <c r="L247" s="20">
        <f t="shared" si="3"/>
        <v>56969.903846153822</v>
      </c>
    </row>
    <row r="248" spans="1:12" ht="19.8" x14ac:dyDescent="0.3">
      <c r="A248" s="18">
        <v>45934</v>
      </c>
      <c r="B248" s="19">
        <v>5624.20590659341</v>
      </c>
      <c r="C248" s="19">
        <v>4487.1294413919404</v>
      </c>
      <c r="D248" s="19">
        <v>6607.6360576923098</v>
      </c>
      <c r="E248" s="19">
        <v>6024.1456272893802</v>
      </c>
      <c r="F248" s="19">
        <v>4758.8187728937801</v>
      </c>
      <c r="G248" s="19">
        <v>6405.57577838828</v>
      </c>
      <c r="H248" s="19">
        <v>4297.1667353479897</v>
      </c>
      <c r="I248" s="19">
        <v>7271.5079212454202</v>
      </c>
      <c r="J248" s="19">
        <v>6545.1719322344297</v>
      </c>
      <c r="K248" s="19">
        <v>4931.69940476191</v>
      </c>
      <c r="L248" s="20">
        <f t="shared" si="3"/>
        <v>56953.057577838852</v>
      </c>
    </row>
    <row r="249" spans="1:12" ht="19.8" x14ac:dyDescent="0.3">
      <c r="A249" s="18">
        <v>45935</v>
      </c>
      <c r="B249" s="19">
        <v>5621.5964285714299</v>
      </c>
      <c r="C249" s="19">
        <v>4478.9386904761895</v>
      </c>
      <c r="D249" s="19">
        <v>6610.8625000000002</v>
      </c>
      <c r="E249" s="19">
        <v>6024.0032738095197</v>
      </c>
      <c r="F249" s="19">
        <v>4752.15148809524</v>
      </c>
      <c r="G249" s="19">
        <v>6408.4255952381</v>
      </c>
      <c r="H249" s="19">
        <v>4288.9815476190497</v>
      </c>
      <c r="I249" s="19">
        <v>7278.2711309523802</v>
      </c>
      <c r="J249" s="19">
        <v>6547.4568452381</v>
      </c>
      <c r="K249" s="19">
        <v>4925.5238095238101</v>
      </c>
      <c r="L249" s="20">
        <f t="shared" si="3"/>
        <v>56936.211309523816</v>
      </c>
    </row>
    <row r="250" spans="1:12" ht="19.8" x14ac:dyDescent="0.3">
      <c r="A250" s="18">
        <v>45936</v>
      </c>
      <c r="B250" s="19">
        <v>5618.9869505494498</v>
      </c>
      <c r="C250" s="19">
        <v>4470.7479395604396</v>
      </c>
      <c r="D250" s="19">
        <v>6614.0889423076896</v>
      </c>
      <c r="E250" s="19">
        <v>6023.8609203296701</v>
      </c>
      <c r="F250" s="19">
        <v>4745.4842032967099</v>
      </c>
      <c r="G250" s="19">
        <v>6411.2754120879099</v>
      </c>
      <c r="H250" s="19">
        <v>4280.7963598901097</v>
      </c>
      <c r="I250" s="19">
        <v>7285.0343406593402</v>
      </c>
      <c r="J250" s="19">
        <v>6549.7417582417602</v>
      </c>
      <c r="K250" s="19">
        <v>4919.3482142857101</v>
      </c>
      <c r="L250" s="20">
        <f t="shared" si="3"/>
        <v>56919.365041208788</v>
      </c>
    </row>
    <row r="251" spans="1:12" ht="19.8" x14ac:dyDescent="0.3">
      <c r="A251" s="18">
        <v>45937</v>
      </c>
      <c r="B251" s="19">
        <v>5616.3774725274698</v>
      </c>
      <c r="C251" s="19">
        <v>4462.5571886446896</v>
      </c>
      <c r="D251" s="19">
        <v>6617.31538461538</v>
      </c>
      <c r="E251" s="19">
        <v>6023.7185668498196</v>
      </c>
      <c r="F251" s="19">
        <v>4738.8169184981698</v>
      </c>
      <c r="G251" s="19">
        <v>6414.1252289377298</v>
      </c>
      <c r="H251" s="19">
        <v>4272.6111721611696</v>
      </c>
      <c r="I251" s="19">
        <v>7291.7975503663001</v>
      </c>
      <c r="J251" s="19">
        <v>6552.0266712454204</v>
      </c>
      <c r="K251" s="19">
        <v>4913.1726190476202</v>
      </c>
      <c r="L251" s="20">
        <f t="shared" si="3"/>
        <v>56902.51877289376</v>
      </c>
    </row>
    <row r="252" spans="1:12" ht="19.8" x14ac:dyDescent="0.3">
      <c r="A252" s="18">
        <v>45938</v>
      </c>
      <c r="B252" s="19">
        <v>5613.7679945054897</v>
      </c>
      <c r="C252" s="19">
        <v>4454.3664377289297</v>
      </c>
      <c r="D252" s="19">
        <v>6620.5418269230804</v>
      </c>
      <c r="E252" s="19">
        <v>6023.57621336996</v>
      </c>
      <c r="F252" s="19">
        <v>4732.1496336996397</v>
      </c>
      <c r="G252" s="19">
        <v>6416.9750457875498</v>
      </c>
      <c r="H252" s="19">
        <v>4264.4259844322396</v>
      </c>
      <c r="I252" s="19">
        <v>7298.5607600732601</v>
      </c>
      <c r="J252" s="19">
        <v>6554.3115842490797</v>
      </c>
      <c r="K252" s="19">
        <v>4906.9970238095202</v>
      </c>
      <c r="L252" s="20">
        <f t="shared" si="3"/>
        <v>56885.672504578746</v>
      </c>
    </row>
    <row r="253" spans="1:12" ht="19.8" x14ac:dyDescent="0.3">
      <c r="A253" s="18">
        <v>45939</v>
      </c>
      <c r="B253" s="19">
        <v>5611.1585164835196</v>
      </c>
      <c r="C253" s="19">
        <v>4446.1756868131797</v>
      </c>
      <c r="D253" s="19">
        <v>6623.7682692307699</v>
      </c>
      <c r="E253" s="19">
        <v>6023.4338598901104</v>
      </c>
      <c r="F253" s="19">
        <v>4725.4823489010996</v>
      </c>
      <c r="G253" s="19">
        <v>6419.8248626373597</v>
      </c>
      <c r="H253" s="19">
        <v>4256.2407967032996</v>
      </c>
      <c r="I253" s="19">
        <v>7305.3239697802201</v>
      </c>
      <c r="J253" s="19">
        <v>6556.5964972527499</v>
      </c>
      <c r="K253" s="19">
        <v>4900.8214285714303</v>
      </c>
      <c r="L253" s="20">
        <f t="shared" si="3"/>
        <v>56868.826236263732</v>
      </c>
    </row>
    <row r="254" spans="1:12" ht="19.8" x14ac:dyDescent="0.3">
      <c r="A254" s="18">
        <v>45940</v>
      </c>
      <c r="B254" s="19">
        <v>5608.5490384615396</v>
      </c>
      <c r="C254" s="19">
        <v>4437.9849358974298</v>
      </c>
      <c r="D254" s="19">
        <v>6626.9947115384603</v>
      </c>
      <c r="E254" s="19">
        <v>6023.2915064102599</v>
      </c>
      <c r="F254" s="19">
        <v>4718.8150641025704</v>
      </c>
      <c r="G254" s="19">
        <v>6422.6746794871797</v>
      </c>
      <c r="H254" s="19">
        <v>4248.0556089743604</v>
      </c>
      <c r="I254" s="19">
        <v>7312.08717948718</v>
      </c>
      <c r="J254" s="19">
        <v>6558.8814102564102</v>
      </c>
      <c r="K254" s="19">
        <v>4894.6458333333303</v>
      </c>
      <c r="L254" s="20">
        <f t="shared" si="3"/>
        <v>56851.979967948719</v>
      </c>
    </row>
    <row r="255" spans="1:12" ht="19.8" x14ac:dyDescent="0.3">
      <c r="A255" s="18">
        <v>45941</v>
      </c>
      <c r="B255" s="19">
        <v>5605.9395604395604</v>
      </c>
      <c r="C255" s="19">
        <v>4429.7941849816798</v>
      </c>
      <c r="D255" s="19">
        <v>6630.2211538461497</v>
      </c>
      <c r="E255" s="19">
        <v>6023.1491529304003</v>
      </c>
      <c r="F255" s="19">
        <v>4712.1477793040303</v>
      </c>
      <c r="G255" s="19">
        <v>6425.5244963369996</v>
      </c>
      <c r="H255" s="19">
        <v>4239.8704212454204</v>
      </c>
      <c r="I255" s="19">
        <v>7318.85038919414</v>
      </c>
      <c r="J255" s="19">
        <v>6561.1663232600704</v>
      </c>
      <c r="K255" s="19">
        <v>4888.4702380952403</v>
      </c>
      <c r="L255" s="20">
        <f t="shared" si="3"/>
        <v>56835.133699633676</v>
      </c>
    </row>
    <row r="256" spans="1:12" ht="19.8" x14ac:dyDescent="0.3">
      <c r="A256" s="18">
        <v>45942</v>
      </c>
      <c r="B256" s="19">
        <v>5603.3300824175803</v>
      </c>
      <c r="C256" s="19">
        <v>4421.6034340659298</v>
      </c>
      <c r="D256" s="19">
        <v>6633.4475961538501</v>
      </c>
      <c r="E256" s="19">
        <v>6023.0067994505498</v>
      </c>
      <c r="F256" s="19">
        <v>4705.4804945055002</v>
      </c>
      <c r="G256" s="19">
        <v>6428.3743131868096</v>
      </c>
      <c r="H256" s="19">
        <v>4231.6852335164804</v>
      </c>
      <c r="I256" s="19">
        <v>7325.6135989011</v>
      </c>
      <c r="J256" s="19">
        <v>6563.4512362637397</v>
      </c>
      <c r="K256" s="19">
        <v>4882.2946428571404</v>
      </c>
      <c r="L256" s="20">
        <f t="shared" si="3"/>
        <v>56818.287431318684</v>
      </c>
    </row>
    <row r="257" spans="1:12" ht="19.8" x14ac:dyDescent="0.3">
      <c r="A257" s="18">
        <v>45943</v>
      </c>
      <c r="B257" s="19">
        <v>5600.7206043956003</v>
      </c>
      <c r="C257" s="19">
        <v>4413.4126831501799</v>
      </c>
      <c r="D257" s="19">
        <v>6636.6740384615396</v>
      </c>
      <c r="E257" s="19">
        <v>6022.8644459707002</v>
      </c>
      <c r="F257" s="19">
        <v>4698.8132097069602</v>
      </c>
      <c r="G257" s="19">
        <v>6431.2241300366304</v>
      </c>
      <c r="H257" s="19">
        <v>4223.5000457875503</v>
      </c>
      <c r="I257" s="19">
        <v>7332.3768086080599</v>
      </c>
      <c r="J257" s="19">
        <v>6565.7361492673999</v>
      </c>
      <c r="K257" s="19">
        <v>4876.1190476190504</v>
      </c>
      <c r="L257" s="20">
        <f t="shared" si="3"/>
        <v>56801.441163003678</v>
      </c>
    </row>
    <row r="258" spans="1:12" ht="19.8" x14ac:dyDescent="0.3">
      <c r="A258" s="18">
        <v>45944</v>
      </c>
      <c r="B258" s="19">
        <v>5598.1111263736302</v>
      </c>
      <c r="C258" s="19">
        <v>4405.2219322344299</v>
      </c>
      <c r="D258" s="19">
        <v>6639.9004807692299</v>
      </c>
      <c r="E258" s="19">
        <v>6022.7220924908397</v>
      </c>
      <c r="F258" s="19">
        <v>4692.1459249084301</v>
      </c>
      <c r="G258" s="19">
        <v>6434.0739468864504</v>
      </c>
      <c r="H258" s="19">
        <v>4215.3148580586103</v>
      </c>
      <c r="I258" s="19">
        <v>7339.1400183150199</v>
      </c>
      <c r="J258" s="19">
        <v>6568.0210622710601</v>
      </c>
      <c r="K258" s="19">
        <v>4869.9434523809496</v>
      </c>
      <c r="L258" s="20">
        <f t="shared" si="3"/>
        <v>56784.594894688642</v>
      </c>
    </row>
    <row r="259" spans="1:12" ht="19.8" x14ac:dyDescent="0.3">
      <c r="A259" s="18">
        <v>45945</v>
      </c>
      <c r="B259" s="19">
        <v>5595.5016483516501</v>
      </c>
      <c r="C259" s="19">
        <v>4397.03118131868</v>
      </c>
      <c r="D259" s="19">
        <v>6643.1269230769203</v>
      </c>
      <c r="E259" s="19">
        <v>6022.5797390109901</v>
      </c>
      <c r="F259" s="19">
        <v>4685.47864010989</v>
      </c>
      <c r="G259" s="19">
        <v>6436.9237637362603</v>
      </c>
      <c r="H259" s="19">
        <v>4207.1296703296703</v>
      </c>
      <c r="I259" s="19">
        <v>7345.9032280219799</v>
      </c>
      <c r="J259" s="19">
        <v>6570.3059752747204</v>
      </c>
      <c r="K259" s="19">
        <v>4863.7678571428596</v>
      </c>
      <c r="L259" s="20">
        <f t="shared" ref="L259:L322" si="4">SUM(B259:K259)</f>
        <v>56767.748626373628</v>
      </c>
    </row>
    <row r="260" spans="1:12" ht="19.8" x14ac:dyDescent="0.3">
      <c r="A260" s="18">
        <v>45946</v>
      </c>
      <c r="B260" s="19">
        <v>5592.8921703296701</v>
      </c>
      <c r="C260" s="19">
        <v>4388.84043040293</v>
      </c>
      <c r="D260" s="19">
        <v>6646.3533653846198</v>
      </c>
      <c r="E260" s="19">
        <v>6022.4373855311396</v>
      </c>
      <c r="F260" s="19">
        <v>4678.8113553113599</v>
      </c>
      <c r="G260" s="19">
        <v>6439.7735805860802</v>
      </c>
      <c r="H260" s="19">
        <v>4198.9444826007302</v>
      </c>
      <c r="I260" s="19">
        <v>7352.6664377289399</v>
      </c>
      <c r="J260" s="19">
        <v>6572.5908882783897</v>
      </c>
      <c r="K260" s="19">
        <v>4857.5922619047597</v>
      </c>
      <c r="L260" s="20">
        <f t="shared" si="4"/>
        <v>56750.902358058622</v>
      </c>
    </row>
    <row r="261" spans="1:12" ht="19.8" x14ac:dyDescent="0.3">
      <c r="A261" s="18">
        <v>45947</v>
      </c>
      <c r="B261" s="19">
        <v>5590.28269230769</v>
      </c>
      <c r="C261" s="19">
        <v>4380.64967948718</v>
      </c>
      <c r="D261" s="19">
        <v>6649.5798076923102</v>
      </c>
      <c r="E261" s="19">
        <v>6022.29503205128</v>
      </c>
      <c r="F261" s="19">
        <v>4672.1440705128298</v>
      </c>
      <c r="G261" s="19">
        <v>6442.6233974359002</v>
      </c>
      <c r="H261" s="19">
        <v>4190.7592948718002</v>
      </c>
      <c r="I261" s="19">
        <v>7359.4296474358998</v>
      </c>
      <c r="J261" s="19">
        <v>6574.8758012820499</v>
      </c>
      <c r="K261" s="19">
        <v>4851.4166666666697</v>
      </c>
      <c r="L261" s="20">
        <f t="shared" si="4"/>
        <v>56734.056089743608</v>
      </c>
    </row>
    <row r="262" spans="1:12" ht="19.8" x14ac:dyDescent="0.3">
      <c r="A262" s="18">
        <v>45948</v>
      </c>
      <c r="B262" s="19">
        <v>5587.6732142857099</v>
      </c>
      <c r="C262" s="19">
        <v>4372.4589285714301</v>
      </c>
      <c r="D262" s="19">
        <v>6652.8062499999996</v>
      </c>
      <c r="E262" s="19">
        <v>6022.1526785714304</v>
      </c>
      <c r="F262" s="19">
        <v>4665.4767857142897</v>
      </c>
      <c r="G262" s="19">
        <v>6445.4732142857101</v>
      </c>
      <c r="H262" s="19">
        <v>4182.5741071428602</v>
      </c>
      <c r="I262" s="19">
        <v>7366.1928571428598</v>
      </c>
      <c r="J262" s="19">
        <v>6577.1607142857101</v>
      </c>
      <c r="K262" s="19">
        <v>4845.2410714285697</v>
      </c>
      <c r="L262" s="20">
        <f t="shared" si="4"/>
        <v>56717.209821428572</v>
      </c>
    </row>
    <row r="263" spans="1:12" ht="19.8" x14ac:dyDescent="0.3">
      <c r="A263" s="18">
        <v>45949</v>
      </c>
      <c r="B263" s="19">
        <v>5585.0637362637399</v>
      </c>
      <c r="C263" s="19">
        <v>4364.2681776556701</v>
      </c>
      <c r="D263" s="19">
        <v>6656.03269230769</v>
      </c>
      <c r="E263" s="19">
        <v>6022.0103250915799</v>
      </c>
      <c r="F263" s="19">
        <v>4658.8095009157596</v>
      </c>
      <c r="G263" s="19">
        <v>6448.3230311355301</v>
      </c>
      <c r="H263" s="19">
        <v>4174.3889194139201</v>
      </c>
      <c r="I263" s="19">
        <v>7372.9560668498198</v>
      </c>
      <c r="J263" s="19">
        <v>6579.4456272893804</v>
      </c>
      <c r="K263" s="19">
        <v>4839.0654761904798</v>
      </c>
      <c r="L263" s="20">
        <f t="shared" si="4"/>
        <v>56700.363553113566</v>
      </c>
    </row>
    <row r="264" spans="1:12" ht="19.8" x14ac:dyDescent="0.3">
      <c r="A264" s="18">
        <v>45950</v>
      </c>
      <c r="B264" s="19">
        <v>5582.4542582417598</v>
      </c>
      <c r="C264" s="19">
        <v>4356.0774267399202</v>
      </c>
      <c r="D264" s="19">
        <v>6659.2591346153804</v>
      </c>
      <c r="E264" s="19">
        <v>6021.8679716117203</v>
      </c>
      <c r="F264" s="19">
        <v>4652.1422161172204</v>
      </c>
      <c r="G264" s="19">
        <v>6451.17284798535</v>
      </c>
      <c r="H264" s="19">
        <v>4166.2037316849801</v>
      </c>
      <c r="I264" s="19">
        <v>7379.7192765567797</v>
      </c>
      <c r="J264" s="19">
        <v>6581.7305402930397</v>
      </c>
      <c r="K264" s="19">
        <v>4832.8898809523798</v>
      </c>
      <c r="L264" s="20">
        <f t="shared" si="4"/>
        <v>56683.517284798538</v>
      </c>
    </row>
    <row r="265" spans="1:12" ht="19.8" x14ac:dyDescent="0.3">
      <c r="A265" s="18">
        <v>45951</v>
      </c>
      <c r="B265" s="19">
        <v>5579.8447802197798</v>
      </c>
      <c r="C265" s="19">
        <v>4347.8866758241702</v>
      </c>
      <c r="D265" s="19">
        <v>6662.4855769230799</v>
      </c>
      <c r="E265" s="19">
        <v>6021.7256181318699</v>
      </c>
      <c r="F265" s="19">
        <v>4645.4749313186903</v>
      </c>
      <c r="G265" s="19">
        <v>6454.02266483516</v>
      </c>
      <c r="H265" s="19">
        <v>4158.01854395604</v>
      </c>
      <c r="I265" s="19">
        <v>7386.4824862637397</v>
      </c>
      <c r="J265" s="19">
        <v>6584.0154532966999</v>
      </c>
      <c r="K265" s="19">
        <v>4826.7142857142899</v>
      </c>
      <c r="L265" s="20">
        <f t="shared" si="4"/>
        <v>56666.671016483517</v>
      </c>
    </row>
    <row r="266" spans="1:12" ht="19.8" x14ac:dyDescent="0.3">
      <c r="A266" s="18">
        <v>45952</v>
      </c>
      <c r="B266" s="19">
        <v>5577.2353021977997</v>
      </c>
      <c r="C266" s="19">
        <v>4339.6959249084202</v>
      </c>
      <c r="D266" s="19">
        <v>6665.7120192307702</v>
      </c>
      <c r="E266" s="19">
        <v>6021.5832646520203</v>
      </c>
      <c r="F266" s="19">
        <v>4638.8076465201502</v>
      </c>
      <c r="G266" s="19">
        <v>6456.8724816849799</v>
      </c>
      <c r="H266" s="19">
        <v>4149.83335622711</v>
      </c>
      <c r="I266" s="19">
        <v>7393.2456959706997</v>
      </c>
      <c r="J266" s="19">
        <v>6586.3003663003701</v>
      </c>
      <c r="K266" s="19">
        <v>4820.5386904761899</v>
      </c>
      <c r="L266" s="20">
        <f t="shared" si="4"/>
        <v>56649.824748168503</v>
      </c>
    </row>
    <row r="267" spans="1:12" ht="19.8" x14ac:dyDescent="0.3">
      <c r="A267" s="18">
        <v>45953</v>
      </c>
      <c r="B267" s="19">
        <v>5574.6258241758196</v>
      </c>
      <c r="C267" s="19">
        <v>4331.5051739926703</v>
      </c>
      <c r="D267" s="19">
        <v>6668.9384615384597</v>
      </c>
      <c r="E267" s="19">
        <v>6021.4409111721598</v>
      </c>
      <c r="F267" s="19">
        <v>4632.1403617216201</v>
      </c>
      <c r="G267" s="19">
        <v>6459.7222985347998</v>
      </c>
      <c r="H267" s="19">
        <v>4141.64816849817</v>
      </c>
      <c r="I267" s="19">
        <v>7400.0089056776596</v>
      </c>
      <c r="J267" s="19">
        <v>6588.5852793040303</v>
      </c>
      <c r="K267" s="19">
        <v>4814.3630952381</v>
      </c>
      <c r="L267" s="20">
        <f t="shared" si="4"/>
        <v>56632.978479853482</v>
      </c>
    </row>
    <row r="268" spans="1:12" ht="19.8" x14ac:dyDescent="0.3">
      <c r="A268" s="18">
        <v>45954</v>
      </c>
      <c r="B268" s="19">
        <v>5572.0163461538496</v>
      </c>
      <c r="C268" s="19">
        <v>4323.3144230769203</v>
      </c>
      <c r="D268" s="19">
        <v>6672.1649038461501</v>
      </c>
      <c r="E268" s="19">
        <v>6021.2985576923102</v>
      </c>
      <c r="F268" s="19">
        <v>4625.47307692308</v>
      </c>
      <c r="G268" s="19">
        <v>6462.5721153846198</v>
      </c>
      <c r="H268" s="19">
        <v>4133.4629807692299</v>
      </c>
      <c r="I268" s="19">
        <v>7406.7721153846196</v>
      </c>
      <c r="J268" s="19">
        <v>6590.8701923076896</v>
      </c>
      <c r="K268" s="19">
        <v>4808.1875</v>
      </c>
      <c r="L268" s="20">
        <f t="shared" si="4"/>
        <v>56616.132211538468</v>
      </c>
    </row>
    <row r="269" spans="1:12" ht="19.8" x14ac:dyDescent="0.3">
      <c r="A269" s="18">
        <v>45955</v>
      </c>
      <c r="B269" s="19">
        <v>5569.4068681318704</v>
      </c>
      <c r="C269" s="19">
        <v>4315.1236721611704</v>
      </c>
      <c r="D269" s="19">
        <v>6675.3913461538496</v>
      </c>
      <c r="E269" s="19">
        <v>6021.1562042124597</v>
      </c>
      <c r="F269" s="19">
        <v>4618.80579212455</v>
      </c>
      <c r="G269" s="19">
        <v>6465.4219322344297</v>
      </c>
      <c r="H269" s="19">
        <v>4125.2777930402899</v>
      </c>
      <c r="I269" s="19">
        <v>7413.5353250915796</v>
      </c>
      <c r="J269" s="19">
        <v>6593.1551053113599</v>
      </c>
      <c r="K269" s="19">
        <v>4802.01190476191</v>
      </c>
      <c r="L269" s="20">
        <f t="shared" si="4"/>
        <v>56599.285943223462</v>
      </c>
    </row>
    <row r="270" spans="1:12" ht="19.8" x14ac:dyDescent="0.3">
      <c r="A270" s="18">
        <v>45956</v>
      </c>
      <c r="B270" s="19">
        <v>5566.7973901098903</v>
      </c>
      <c r="C270" s="19">
        <v>4306.9329212454204</v>
      </c>
      <c r="D270" s="19">
        <v>6678.6177884615399</v>
      </c>
      <c r="E270" s="19">
        <v>6021.0138507326001</v>
      </c>
      <c r="F270" s="19">
        <v>4612.1385073260099</v>
      </c>
      <c r="G270" s="19">
        <v>6468.2717490842497</v>
      </c>
      <c r="H270" s="19">
        <v>4117.0926053113599</v>
      </c>
      <c r="I270" s="19">
        <v>7420.2985347985305</v>
      </c>
      <c r="J270" s="19">
        <v>6595.4400183150201</v>
      </c>
      <c r="K270" s="19">
        <v>4795.8363095238101</v>
      </c>
      <c r="L270" s="20">
        <f t="shared" si="4"/>
        <v>56582.439674908426</v>
      </c>
    </row>
    <row r="271" spans="1:12" ht="19.8" x14ac:dyDescent="0.3">
      <c r="A271" s="18">
        <v>45957</v>
      </c>
      <c r="B271" s="19">
        <v>5564.1879120879103</v>
      </c>
      <c r="C271" s="19">
        <v>4298.7421703296704</v>
      </c>
      <c r="D271" s="19">
        <v>6681.8442307692303</v>
      </c>
      <c r="E271" s="19">
        <v>6020.8714972527496</v>
      </c>
      <c r="F271" s="19">
        <v>4605.4712225274798</v>
      </c>
      <c r="G271" s="19">
        <v>6471.1215659340696</v>
      </c>
      <c r="H271" s="19">
        <v>4108.9074175824198</v>
      </c>
      <c r="I271" s="19">
        <v>7427.0617445054904</v>
      </c>
      <c r="J271" s="19">
        <v>6597.7249313186803</v>
      </c>
      <c r="K271" s="19">
        <v>4789.6607142857101</v>
      </c>
      <c r="L271" s="20">
        <f t="shared" si="4"/>
        <v>56565.593406593413</v>
      </c>
    </row>
    <row r="272" spans="1:12" ht="19.8" x14ac:dyDescent="0.3">
      <c r="A272" s="18">
        <v>45958</v>
      </c>
      <c r="B272" s="19">
        <v>5561.5784340659302</v>
      </c>
      <c r="C272" s="19">
        <v>4290.5514194139196</v>
      </c>
      <c r="D272" s="19">
        <v>6685.0706730769198</v>
      </c>
      <c r="E272" s="19">
        <v>6020.72914377289</v>
      </c>
      <c r="F272" s="19">
        <v>4598.8039377289397</v>
      </c>
      <c r="G272" s="19">
        <v>6473.9713827838796</v>
      </c>
      <c r="H272" s="19">
        <v>4100.7222298534798</v>
      </c>
      <c r="I272" s="19">
        <v>7433.8249542124504</v>
      </c>
      <c r="J272" s="19">
        <v>6600.0098443223396</v>
      </c>
      <c r="K272" s="19">
        <v>4783.4851190476202</v>
      </c>
      <c r="L272" s="20">
        <f t="shared" si="4"/>
        <v>56548.74713827837</v>
      </c>
    </row>
    <row r="273" spans="1:12" ht="19.8" x14ac:dyDescent="0.3">
      <c r="A273" s="18">
        <v>45959</v>
      </c>
      <c r="B273" s="19">
        <v>5558.9689560439601</v>
      </c>
      <c r="C273" s="19">
        <v>4282.3606684981696</v>
      </c>
      <c r="D273" s="19">
        <v>6688.2971153846202</v>
      </c>
      <c r="E273" s="19">
        <v>6020.5867902930404</v>
      </c>
      <c r="F273" s="19">
        <v>4592.1366529304096</v>
      </c>
      <c r="G273" s="19">
        <v>6476.8211996337004</v>
      </c>
      <c r="H273" s="19">
        <v>4092.5370421245402</v>
      </c>
      <c r="I273" s="19">
        <v>7440.5881639194104</v>
      </c>
      <c r="J273" s="19">
        <v>6602.2947573260099</v>
      </c>
      <c r="K273" s="19">
        <v>4777.3095238095202</v>
      </c>
      <c r="L273" s="20">
        <f t="shared" si="4"/>
        <v>56531.900869963378</v>
      </c>
    </row>
    <row r="274" spans="1:12" ht="19.8" x14ac:dyDescent="0.3">
      <c r="A274" s="18">
        <v>45960</v>
      </c>
      <c r="B274" s="19">
        <v>5556.3594780219801</v>
      </c>
      <c r="C274" s="19">
        <v>4274.1699175824097</v>
      </c>
      <c r="D274" s="19">
        <v>6691.5235576923096</v>
      </c>
      <c r="E274" s="19">
        <v>6020.4444368131899</v>
      </c>
      <c r="F274" s="19">
        <v>4585.4693681318704</v>
      </c>
      <c r="G274" s="19">
        <v>6479.6710164835204</v>
      </c>
      <c r="H274" s="19">
        <v>4084.3518543956002</v>
      </c>
      <c r="I274" s="19">
        <v>7447.3513736263703</v>
      </c>
      <c r="J274" s="19">
        <v>6604.5796703296701</v>
      </c>
      <c r="K274" s="19">
        <v>4771.1339285714303</v>
      </c>
      <c r="L274" s="20">
        <f t="shared" si="4"/>
        <v>56515.054601648349</v>
      </c>
    </row>
    <row r="275" spans="1:12" ht="19.8" x14ac:dyDescent="0.3">
      <c r="A275" s="18">
        <v>45961</v>
      </c>
      <c r="B275" s="19">
        <v>5553.75</v>
      </c>
      <c r="C275" s="19">
        <v>4265.9791666666597</v>
      </c>
      <c r="D275" s="19">
        <v>6694.75</v>
      </c>
      <c r="E275" s="19">
        <v>6020.3020833333303</v>
      </c>
      <c r="F275" s="19">
        <v>4578.8020833333403</v>
      </c>
      <c r="G275" s="19">
        <v>6482.5208333333303</v>
      </c>
      <c r="H275" s="19">
        <v>4076.1666666666702</v>
      </c>
      <c r="I275" s="19">
        <v>7454.1145833333303</v>
      </c>
      <c r="J275" s="19">
        <v>6606.8645833333303</v>
      </c>
      <c r="K275" s="19">
        <v>4764.9583333333303</v>
      </c>
      <c r="L275" s="20">
        <f t="shared" si="4"/>
        <v>56498.208333333321</v>
      </c>
    </row>
    <row r="276" spans="1:12" ht="19.8" x14ac:dyDescent="0.3">
      <c r="A276" s="18">
        <v>45962</v>
      </c>
      <c r="B276" s="19">
        <v>5551.1405219780199</v>
      </c>
      <c r="C276" s="19">
        <v>4257.7884157509097</v>
      </c>
      <c r="D276" s="19">
        <v>6697.9764423076904</v>
      </c>
      <c r="E276" s="19">
        <v>6020.1597298534798</v>
      </c>
      <c r="F276" s="19">
        <v>4572.1347985348002</v>
      </c>
      <c r="G276" s="19">
        <v>6485.3706501831502</v>
      </c>
      <c r="H276" s="19">
        <v>4067.9814789377301</v>
      </c>
      <c r="I276" s="19">
        <v>7460.8777930402903</v>
      </c>
      <c r="J276" s="19">
        <v>6609.1494963369996</v>
      </c>
      <c r="K276" s="19">
        <v>4758.7827380952403</v>
      </c>
      <c r="L276" s="20">
        <f t="shared" si="4"/>
        <v>56481.362065018315</v>
      </c>
    </row>
    <row r="277" spans="1:12" ht="19.8" x14ac:dyDescent="0.3">
      <c r="A277" s="18">
        <v>45963</v>
      </c>
      <c r="B277" s="19">
        <v>5548.5310439560399</v>
      </c>
      <c r="C277" s="19">
        <v>4249.5976648351598</v>
      </c>
      <c r="D277" s="19">
        <v>6701.2028846153798</v>
      </c>
      <c r="E277" s="19">
        <v>6020.0173763736302</v>
      </c>
      <c r="F277" s="19">
        <v>4565.4675137362701</v>
      </c>
      <c r="G277" s="19">
        <v>6488.2204670329702</v>
      </c>
      <c r="H277" s="19">
        <v>4059.7962912087901</v>
      </c>
      <c r="I277" s="19">
        <v>7467.6410027472502</v>
      </c>
      <c r="J277" s="19">
        <v>6611.4344093406598</v>
      </c>
      <c r="K277" s="19">
        <v>4752.6071428571404</v>
      </c>
      <c r="L277" s="20">
        <f t="shared" si="4"/>
        <v>56464.515796703286</v>
      </c>
    </row>
    <row r="278" spans="1:12" ht="19.8" x14ac:dyDescent="0.3">
      <c r="A278" s="18">
        <v>45964</v>
      </c>
      <c r="B278" s="19">
        <v>5545.9215659340698</v>
      </c>
      <c r="C278" s="19">
        <v>4241.4069139194098</v>
      </c>
      <c r="D278" s="19">
        <v>6704.4293269230802</v>
      </c>
      <c r="E278" s="19">
        <v>6019.8750228937697</v>
      </c>
      <c r="F278" s="19">
        <v>4558.80022893773</v>
      </c>
      <c r="G278" s="19">
        <v>6491.0702838827801</v>
      </c>
      <c r="H278" s="19">
        <v>4051.61110347985</v>
      </c>
      <c r="I278" s="19">
        <v>7474.4042124542102</v>
      </c>
      <c r="J278" s="19">
        <v>6613.7193223443201</v>
      </c>
      <c r="K278" s="19">
        <v>4746.4315476190504</v>
      </c>
      <c r="L278" s="20">
        <f t="shared" si="4"/>
        <v>56447.669528388273</v>
      </c>
    </row>
    <row r="279" spans="1:12" ht="19.8" x14ac:dyDescent="0.3">
      <c r="A279" s="18">
        <v>45965</v>
      </c>
      <c r="B279" s="19">
        <v>5543.3120879120897</v>
      </c>
      <c r="C279" s="19">
        <v>4233.2161630036599</v>
      </c>
      <c r="D279" s="19">
        <v>6707.6557692307697</v>
      </c>
      <c r="E279" s="19">
        <v>6019.7326694139201</v>
      </c>
      <c r="F279" s="19">
        <v>4552.1329441391999</v>
      </c>
      <c r="G279" s="19">
        <v>6493.9201007326001</v>
      </c>
      <c r="H279" s="19">
        <v>4043.42591575092</v>
      </c>
      <c r="I279" s="19">
        <v>7481.1674221611702</v>
      </c>
      <c r="J279" s="19">
        <v>6616.0042353479903</v>
      </c>
      <c r="K279" s="19">
        <v>4740.2559523809496</v>
      </c>
      <c r="L279" s="20">
        <f t="shared" si="4"/>
        <v>56430.823260073266</v>
      </c>
    </row>
    <row r="280" spans="1:12" ht="19.8" x14ac:dyDescent="0.3">
      <c r="A280" s="18">
        <v>45966</v>
      </c>
      <c r="B280" s="19">
        <v>5540.7026098901097</v>
      </c>
      <c r="C280" s="19">
        <v>4225.0254120879099</v>
      </c>
      <c r="D280" s="19">
        <v>6710.8822115384601</v>
      </c>
      <c r="E280" s="19">
        <v>6019.5903159340696</v>
      </c>
      <c r="F280" s="19">
        <v>4545.4656593406598</v>
      </c>
      <c r="G280" s="19">
        <v>6496.76991758242</v>
      </c>
      <c r="H280" s="19">
        <v>4035.24072802198</v>
      </c>
      <c r="I280" s="19">
        <v>7487.9306318681301</v>
      </c>
      <c r="J280" s="19">
        <v>6618.2891483516496</v>
      </c>
      <c r="K280" s="19">
        <v>4734.0803571428596</v>
      </c>
      <c r="L280" s="20">
        <f t="shared" si="4"/>
        <v>56413.97699175826</v>
      </c>
    </row>
    <row r="281" spans="1:12" ht="19.8" x14ac:dyDescent="0.3">
      <c r="A281" s="18">
        <v>45967</v>
      </c>
      <c r="B281" s="19">
        <v>5538.0931318681296</v>
      </c>
      <c r="C281" s="19">
        <v>4216.8346611721599</v>
      </c>
      <c r="D281" s="19">
        <v>6714.1086538461504</v>
      </c>
      <c r="E281" s="19">
        <v>6019.44796245421</v>
      </c>
      <c r="F281" s="19">
        <v>4538.7983745421297</v>
      </c>
      <c r="G281" s="19">
        <v>6499.61973443223</v>
      </c>
      <c r="H281" s="19">
        <v>4027.0555402930399</v>
      </c>
      <c r="I281" s="19">
        <v>7494.6938415750901</v>
      </c>
      <c r="J281" s="19">
        <v>6620.5740613553098</v>
      </c>
      <c r="K281" s="19">
        <v>4727.9047619047597</v>
      </c>
      <c r="L281" s="20">
        <f t="shared" si="4"/>
        <v>56397.130723443217</v>
      </c>
    </row>
    <row r="282" spans="1:12" ht="19.8" x14ac:dyDescent="0.3">
      <c r="A282" s="18">
        <v>45968</v>
      </c>
      <c r="B282" s="19">
        <v>5535.4836538461504</v>
      </c>
      <c r="C282" s="19">
        <v>4208.64391025641</v>
      </c>
      <c r="D282" s="19">
        <v>6717.3350961538499</v>
      </c>
      <c r="E282" s="19">
        <v>6019.3056089743604</v>
      </c>
      <c r="F282" s="19">
        <v>4532.1310897435897</v>
      </c>
      <c r="G282" s="19">
        <v>6502.4695512820499</v>
      </c>
      <c r="H282" s="19">
        <v>4018.8703525640999</v>
      </c>
      <c r="I282" s="19">
        <v>7501.4570512820501</v>
      </c>
      <c r="J282" s="19">
        <v>6622.85897435897</v>
      </c>
      <c r="K282" s="19">
        <v>4721.7291666666697</v>
      </c>
      <c r="L282" s="20">
        <f t="shared" si="4"/>
        <v>56380.284455128203</v>
      </c>
    </row>
    <row r="283" spans="1:12" ht="19.8" x14ac:dyDescent="0.3">
      <c r="A283" s="18">
        <v>45969</v>
      </c>
      <c r="B283" s="19">
        <v>5532.8741758241704</v>
      </c>
      <c r="C283" s="19">
        <v>4200.45315934066</v>
      </c>
      <c r="D283" s="19">
        <v>6720.5615384615403</v>
      </c>
      <c r="E283" s="19">
        <v>6019.1632554945099</v>
      </c>
      <c r="F283" s="19">
        <v>4525.4638049450596</v>
      </c>
      <c r="G283" s="19">
        <v>6505.3193681318699</v>
      </c>
      <c r="H283" s="19">
        <v>4010.6851648351699</v>
      </c>
      <c r="I283" s="19">
        <v>7508.2202609890101</v>
      </c>
      <c r="J283" s="19">
        <v>6625.1438873626403</v>
      </c>
      <c r="K283" s="19">
        <v>4715.5535714285697</v>
      </c>
      <c r="L283" s="20">
        <f t="shared" si="4"/>
        <v>56363.438186813204</v>
      </c>
    </row>
    <row r="284" spans="1:12" ht="19.8" x14ac:dyDescent="0.3">
      <c r="A284" s="18">
        <v>45970</v>
      </c>
      <c r="B284" s="19">
        <v>5530.2646978022003</v>
      </c>
      <c r="C284" s="19">
        <v>4192.2624084249101</v>
      </c>
      <c r="D284" s="19">
        <v>6723.7879807692298</v>
      </c>
      <c r="E284" s="19">
        <v>6019.0209020146503</v>
      </c>
      <c r="F284" s="19">
        <v>4518.7965201465204</v>
      </c>
      <c r="G284" s="19">
        <v>6508.1691849816798</v>
      </c>
      <c r="H284" s="19">
        <v>4002.4999771062298</v>
      </c>
      <c r="I284" s="19">
        <v>7514.98347069597</v>
      </c>
      <c r="J284" s="19">
        <v>6627.4288003662996</v>
      </c>
      <c r="K284" s="19">
        <v>4709.3779761904798</v>
      </c>
      <c r="L284" s="20">
        <f t="shared" si="4"/>
        <v>56346.591918498176</v>
      </c>
    </row>
    <row r="285" spans="1:12" ht="19.8" x14ac:dyDescent="0.3">
      <c r="A285" s="18">
        <v>45971</v>
      </c>
      <c r="B285" s="19">
        <v>5527.6552197802202</v>
      </c>
      <c r="C285" s="19">
        <v>4184.0716575091501</v>
      </c>
      <c r="D285" s="19">
        <v>6727.0144230769201</v>
      </c>
      <c r="E285" s="19">
        <v>6018.8785485347998</v>
      </c>
      <c r="F285" s="19">
        <v>4512.1292353479903</v>
      </c>
      <c r="G285" s="19">
        <v>6511.0190018314997</v>
      </c>
      <c r="H285" s="19">
        <v>3994.3147893772898</v>
      </c>
      <c r="I285" s="19">
        <v>7521.74668040293</v>
      </c>
      <c r="J285" s="19">
        <v>6629.7137133699598</v>
      </c>
      <c r="K285" s="19">
        <v>4703.2023809523798</v>
      </c>
      <c r="L285" s="20">
        <f t="shared" si="4"/>
        <v>56329.74565018314</v>
      </c>
    </row>
    <row r="286" spans="1:12" ht="19.8" x14ac:dyDescent="0.3">
      <c r="A286" s="18">
        <v>45972</v>
      </c>
      <c r="B286" s="19">
        <v>5525.0457417582402</v>
      </c>
      <c r="C286" s="19">
        <v>4175.8809065934001</v>
      </c>
      <c r="D286" s="19">
        <v>6730.2408653846196</v>
      </c>
      <c r="E286" s="19">
        <v>6018.7361950549503</v>
      </c>
      <c r="F286" s="19">
        <v>4505.4619505494602</v>
      </c>
      <c r="G286" s="19">
        <v>6513.8688186813197</v>
      </c>
      <c r="H286" s="19">
        <v>3986.1296016483502</v>
      </c>
      <c r="I286" s="19">
        <v>7528.50989010989</v>
      </c>
      <c r="J286" s="19">
        <v>6631.99862637363</v>
      </c>
      <c r="K286" s="19">
        <v>4697.0267857142899</v>
      </c>
      <c r="L286" s="20">
        <f t="shared" si="4"/>
        <v>56312.899381868148</v>
      </c>
    </row>
    <row r="287" spans="1:12" ht="19.8" x14ac:dyDescent="0.3">
      <c r="A287" s="18">
        <v>45973</v>
      </c>
      <c r="B287" s="19">
        <v>5522.4362637362601</v>
      </c>
      <c r="C287" s="19">
        <v>4167.6901556776502</v>
      </c>
      <c r="D287" s="19">
        <v>6733.46730769231</v>
      </c>
      <c r="E287" s="19">
        <v>6018.5938415750898</v>
      </c>
      <c r="F287" s="19">
        <v>4498.7946657509201</v>
      </c>
      <c r="G287" s="19">
        <v>6516.7186355311396</v>
      </c>
      <c r="H287" s="19">
        <v>3977.9444139194102</v>
      </c>
      <c r="I287" s="19">
        <v>7535.2730998168499</v>
      </c>
      <c r="J287" s="19">
        <v>6634.2835393772903</v>
      </c>
      <c r="K287" s="19">
        <v>4690.8511904761899</v>
      </c>
      <c r="L287" s="20">
        <f t="shared" si="4"/>
        <v>56296.053113553113</v>
      </c>
    </row>
    <row r="288" spans="1:12" ht="19.8" x14ac:dyDescent="0.3">
      <c r="A288" s="18">
        <v>45974</v>
      </c>
      <c r="B288" s="19">
        <v>5519.8267857142901</v>
      </c>
      <c r="C288" s="19">
        <v>4159.4994047619002</v>
      </c>
      <c r="D288" s="19">
        <v>6736.6937500000004</v>
      </c>
      <c r="E288" s="19">
        <v>6018.4514880952402</v>
      </c>
      <c r="F288" s="19">
        <v>4492.12738095239</v>
      </c>
      <c r="G288" s="19">
        <v>6519.5684523809496</v>
      </c>
      <c r="H288" s="19">
        <v>3969.7592261904801</v>
      </c>
      <c r="I288" s="19">
        <v>7542.0363095238099</v>
      </c>
      <c r="J288" s="19">
        <v>6636.5684523809496</v>
      </c>
      <c r="K288" s="19">
        <v>4684.6755952381</v>
      </c>
      <c r="L288" s="20">
        <f t="shared" si="4"/>
        <v>56279.206845238099</v>
      </c>
    </row>
    <row r="289" spans="1:12" ht="19.8" x14ac:dyDescent="0.3">
      <c r="A289" s="18">
        <v>45975</v>
      </c>
      <c r="B289" s="19">
        <v>5517.21730769231</v>
      </c>
      <c r="C289" s="19">
        <v>4151.3086538461503</v>
      </c>
      <c r="D289" s="19">
        <v>6739.9201923076898</v>
      </c>
      <c r="E289" s="19">
        <v>6018.3091346153897</v>
      </c>
      <c r="F289" s="19">
        <v>4485.4600961538499</v>
      </c>
      <c r="G289" s="19">
        <v>6522.4182692307704</v>
      </c>
      <c r="H289" s="19">
        <v>3961.5740384615401</v>
      </c>
      <c r="I289" s="19">
        <v>7548.7995192307699</v>
      </c>
      <c r="J289" s="19">
        <v>6638.8533653846198</v>
      </c>
      <c r="K289" s="19">
        <v>4678.5</v>
      </c>
      <c r="L289" s="20">
        <f t="shared" si="4"/>
        <v>56262.360576923093</v>
      </c>
    </row>
    <row r="290" spans="1:12" ht="19.8" x14ac:dyDescent="0.3">
      <c r="A290" s="18">
        <v>45976</v>
      </c>
      <c r="B290" s="19">
        <v>5514.6078296703299</v>
      </c>
      <c r="C290" s="19">
        <v>4143.1179029304003</v>
      </c>
      <c r="D290" s="19">
        <v>6743.1466346153802</v>
      </c>
      <c r="E290" s="19">
        <v>6018.1667811355301</v>
      </c>
      <c r="F290" s="19">
        <v>4478.7928113553198</v>
      </c>
      <c r="G290" s="19">
        <v>6525.2680860805904</v>
      </c>
      <c r="H290" s="19">
        <v>3953.3888507326001</v>
      </c>
      <c r="I290" s="19">
        <v>7555.5627289377298</v>
      </c>
      <c r="J290" s="19">
        <v>6641.13827838828</v>
      </c>
      <c r="K290" s="19">
        <v>4672.32440476191</v>
      </c>
      <c r="L290" s="20">
        <f t="shared" si="4"/>
        <v>56245.514308608064</v>
      </c>
    </row>
    <row r="291" spans="1:12" ht="19.8" x14ac:dyDescent="0.3">
      <c r="A291" s="18">
        <v>45977</v>
      </c>
      <c r="B291" s="19">
        <v>5511.9983516483499</v>
      </c>
      <c r="C291" s="19">
        <v>4134.9271520146503</v>
      </c>
      <c r="D291" s="19">
        <v>6746.3730769230797</v>
      </c>
      <c r="E291" s="19">
        <v>6018.0244276556796</v>
      </c>
      <c r="F291" s="19">
        <v>4472.1255265567797</v>
      </c>
      <c r="G291" s="19">
        <v>6528.1179029304003</v>
      </c>
      <c r="H291" s="19">
        <v>3945.20366300366</v>
      </c>
      <c r="I291" s="19">
        <v>7562.3259386446898</v>
      </c>
      <c r="J291" s="19">
        <v>6643.4231913919402</v>
      </c>
      <c r="K291" s="19">
        <v>4666.1488095238101</v>
      </c>
      <c r="L291" s="20">
        <f t="shared" si="4"/>
        <v>56228.668040293036</v>
      </c>
    </row>
    <row r="292" spans="1:12" ht="19.8" x14ac:dyDescent="0.3">
      <c r="A292" s="18">
        <v>45978</v>
      </c>
      <c r="B292" s="19">
        <v>5509.3888736263698</v>
      </c>
      <c r="C292" s="19">
        <v>4126.7364010989004</v>
      </c>
      <c r="D292" s="19">
        <v>6749.5995192307701</v>
      </c>
      <c r="E292" s="19">
        <v>6017.88207417583</v>
      </c>
      <c r="F292" s="19">
        <v>4465.4582417582496</v>
      </c>
      <c r="G292" s="19">
        <v>6530.9677197802202</v>
      </c>
      <c r="H292" s="19">
        <v>3937.01847527473</v>
      </c>
      <c r="I292" s="19">
        <v>7569.0891483516498</v>
      </c>
      <c r="J292" s="19">
        <v>6645.7081043955995</v>
      </c>
      <c r="K292" s="19">
        <v>4659.9732142857101</v>
      </c>
      <c r="L292" s="20">
        <f t="shared" si="4"/>
        <v>56211.821771978037</v>
      </c>
    </row>
    <row r="293" spans="1:12" ht="19.8" x14ac:dyDescent="0.3">
      <c r="A293" s="18">
        <v>45979</v>
      </c>
      <c r="B293" s="19">
        <v>5506.7793956043997</v>
      </c>
      <c r="C293" s="19">
        <v>4118.5456501831504</v>
      </c>
      <c r="D293" s="19">
        <v>6752.8259615384604</v>
      </c>
      <c r="E293" s="19">
        <v>6017.7397206959704</v>
      </c>
      <c r="F293" s="19">
        <v>4458.7909569597095</v>
      </c>
      <c r="G293" s="19">
        <v>6533.8175366300402</v>
      </c>
      <c r="H293" s="19">
        <v>3928.83328754579</v>
      </c>
      <c r="I293" s="19">
        <v>7575.8523580586098</v>
      </c>
      <c r="J293" s="19">
        <v>6647.9930173992698</v>
      </c>
      <c r="K293" s="19">
        <v>4653.7976190476202</v>
      </c>
      <c r="L293" s="20">
        <f t="shared" si="4"/>
        <v>56194.975503663023</v>
      </c>
    </row>
    <row r="294" spans="1:12" ht="19.8" x14ac:dyDescent="0.3">
      <c r="A294" s="18">
        <v>45980</v>
      </c>
      <c r="B294" s="19">
        <v>5504.1699175824197</v>
      </c>
      <c r="C294" s="19">
        <v>4110.3548992673996</v>
      </c>
      <c r="D294" s="19">
        <v>6756.0524038461499</v>
      </c>
      <c r="E294" s="19">
        <v>6017.5973672161199</v>
      </c>
      <c r="F294" s="19">
        <v>4452.1236721611804</v>
      </c>
      <c r="G294" s="19">
        <v>6536.6673534798501</v>
      </c>
      <c r="H294" s="19">
        <v>3920.6480998168499</v>
      </c>
      <c r="I294" s="19">
        <v>7582.6155677655697</v>
      </c>
      <c r="J294" s="19">
        <v>6650.27793040293</v>
      </c>
      <c r="K294" s="19">
        <v>4647.6220238095202</v>
      </c>
      <c r="L294" s="20">
        <f t="shared" si="4"/>
        <v>56178.12923534798</v>
      </c>
    </row>
    <row r="295" spans="1:12" ht="19.8" x14ac:dyDescent="0.3">
      <c r="A295" s="18">
        <v>45981</v>
      </c>
      <c r="B295" s="19">
        <v>5501.5604395604396</v>
      </c>
      <c r="C295" s="19">
        <v>4102.1641483516496</v>
      </c>
      <c r="D295" s="19">
        <v>6759.2788461538503</v>
      </c>
      <c r="E295" s="19">
        <v>6017.4550137362603</v>
      </c>
      <c r="F295" s="19">
        <v>4445.4563873626403</v>
      </c>
      <c r="G295" s="19">
        <v>6539.5171703296701</v>
      </c>
      <c r="H295" s="19">
        <v>3912.4629120879099</v>
      </c>
      <c r="I295" s="19">
        <v>7589.3787774725297</v>
      </c>
      <c r="J295" s="19">
        <v>6652.5628434065902</v>
      </c>
      <c r="K295" s="19">
        <v>4641.4464285714303</v>
      </c>
      <c r="L295" s="20">
        <f t="shared" si="4"/>
        <v>56161.282967032967</v>
      </c>
    </row>
    <row r="296" spans="1:12" ht="19.8" x14ac:dyDescent="0.3">
      <c r="A296" s="18">
        <v>45982</v>
      </c>
      <c r="B296" s="19">
        <v>5498.9509615384604</v>
      </c>
      <c r="C296" s="19">
        <v>4093.9733974358901</v>
      </c>
      <c r="D296" s="19">
        <v>6762.5052884615397</v>
      </c>
      <c r="E296" s="19">
        <v>6017.3126602564098</v>
      </c>
      <c r="F296" s="19">
        <v>4438.7891025641102</v>
      </c>
      <c r="G296" s="19">
        <v>6542.36698717949</v>
      </c>
      <c r="H296" s="19">
        <v>3904.2777243589799</v>
      </c>
      <c r="I296" s="19">
        <v>7596.1419871794897</v>
      </c>
      <c r="J296" s="19">
        <v>6654.8477564102604</v>
      </c>
      <c r="K296" s="19">
        <v>4635.2708333333303</v>
      </c>
      <c r="L296" s="20">
        <f t="shared" si="4"/>
        <v>56144.43669871796</v>
      </c>
    </row>
    <row r="297" spans="1:12" ht="19.8" x14ac:dyDescent="0.3">
      <c r="A297" s="18">
        <v>45983</v>
      </c>
      <c r="B297" s="19">
        <v>5496.3414835164804</v>
      </c>
      <c r="C297" s="19">
        <v>4085.7826465201401</v>
      </c>
      <c r="D297" s="19">
        <v>6765.7317307692301</v>
      </c>
      <c r="E297" s="19">
        <v>6017.1703067765602</v>
      </c>
      <c r="F297" s="19">
        <v>4432.1218177655701</v>
      </c>
      <c r="G297" s="19">
        <v>6545.2168040293</v>
      </c>
      <c r="H297" s="19">
        <v>3896.0925366300398</v>
      </c>
      <c r="I297" s="19">
        <v>7602.9051968864496</v>
      </c>
      <c r="J297" s="19">
        <v>6657.1326694139198</v>
      </c>
      <c r="K297" s="19">
        <v>4629.0952380952403</v>
      </c>
      <c r="L297" s="20">
        <f t="shared" si="4"/>
        <v>56127.590430402939</v>
      </c>
    </row>
    <row r="298" spans="1:12" ht="19.8" x14ac:dyDescent="0.3">
      <c r="A298" s="18">
        <v>45984</v>
      </c>
      <c r="B298" s="19">
        <v>5493.7320054945003</v>
      </c>
      <c r="C298" s="19">
        <v>4077.5918956043902</v>
      </c>
      <c r="D298" s="19">
        <v>6768.9581730769196</v>
      </c>
      <c r="E298" s="19">
        <v>6017.0279532966997</v>
      </c>
      <c r="F298" s="19">
        <v>4425.45453296704</v>
      </c>
      <c r="G298" s="19">
        <v>6548.0666208791199</v>
      </c>
      <c r="H298" s="19">
        <v>3887.9073489010998</v>
      </c>
      <c r="I298" s="19">
        <v>7609.6684065934096</v>
      </c>
      <c r="J298" s="19">
        <v>6659.41758241758</v>
      </c>
      <c r="K298" s="19">
        <v>4622.9196428571404</v>
      </c>
      <c r="L298" s="20">
        <f t="shared" si="4"/>
        <v>56110.744162087904</v>
      </c>
    </row>
    <row r="299" spans="1:12" ht="19.8" x14ac:dyDescent="0.3">
      <c r="A299" s="18">
        <v>45985</v>
      </c>
      <c r="B299" s="19">
        <v>5491.1225274725302</v>
      </c>
      <c r="C299" s="19">
        <v>4069.4011446886402</v>
      </c>
      <c r="D299" s="19">
        <v>6772.18461538462</v>
      </c>
      <c r="E299" s="19">
        <v>6016.8855998168501</v>
      </c>
      <c r="F299" s="19">
        <v>4418.7872481684999</v>
      </c>
      <c r="G299" s="19">
        <v>6550.9164377289399</v>
      </c>
      <c r="H299" s="19">
        <v>3879.7221611721602</v>
      </c>
      <c r="I299" s="19">
        <v>7616.4316163003696</v>
      </c>
      <c r="J299" s="19">
        <v>6661.7024954212402</v>
      </c>
      <c r="K299" s="19">
        <v>4616.7440476190504</v>
      </c>
      <c r="L299" s="20">
        <f t="shared" si="4"/>
        <v>56093.897893772904</v>
      </c>
    </row>
    <row r="300" spans="1:12" ht="19.8" x14ac:dyDescent="0.3">
      <c r="A300" s="18">
        <v>45986</v>
      </c>
      <c r="B300" s="19">
        <v>5488.5130494505502</v>
      </c>
      <c r="C300" s="19">
        <v>4061.2103937728898</v>
      </c>
      <c r="D300" s="19">
        <v>6775.4110576923104</v>
      </c>
      <c r="E300" s="19">
        <v>6016.7432463369996</v>
      </c>
      <c r="F300" s="19">
        <v>4412.1199633699698</v>
      </c>
      <c r="G300" s="19">
        <v>6553.7662545787498</v>
      </c>
      <c r="H300" s="19">
        <v>3871.5369734432202</v>
      </c>
      <c r="I300" s="19">
        <v>7623.1948260073304</v>
      </c>
      <c r="J300" s="19">
        <v>6663.9874084249104</v>
      </c>
      <c r="K300" s="19">
        <v>4610.5684523809496</v>
      </c>
      <c r="L300" s="20">
        <f t="shared" si="4"/>
        <v>56077.051625457876</v>
      </c>
    </row>
    <row r="301" spans="1:12" ht="19.8" x14ac:dyDescent="0.3">
      <c r="A301" s="18">
        <v>45987</v>
      </c>
      <c r="B301" s="19">
        <v>5485.9035714285701</v>
      </c>
      <c r="C301" s="19">
        <v>4053.0196428571398</v>
      </c>
      <c r="D301" s="19">
        <v>6778.6374999999998</v>
      </c>
      <c r="E301" s="19">
        <v>6016.60089285714</v>
      </c>
      <c r="F301" s="19">
        <v>4405.4526785714297</v>
      </c>
      <c r="G301" s="19">
        <v>6556.6160714285697</v>
      </c>
      <c r="H301" s="19">
        <v>3863.3517857142901</v>
      </c>
      <c r="I301" s="19">
        <v>7629.9580357142904</v>
      </c>
      <c r="J301" s="19">
        <v>6666.2723214285697</v>
      </c>
      <c r="K301" s="19">
        <v>4604.3928571428596</v>
      </c>
      <c r="L301" s="20">
        <f t="shared" si="4"/>
        <v>56060.205357142862</v>
      </c>
    </row>
    <row r="302" spans="1:12" ht="19.8" x14ac:dyDescent="0.3">
      <c r="A302" s="18">
        <v>45988</v>
      </c>
      <c r="B302" s="19">
        <v>5483.29409340659</v>
      </c>
      <c r="C302" s="19">
        <v>4044.8288919413899</v>
      </c>
      <c r="D302" s="19">
        <v>6781.8639423076902</v>
      </c>
      <c r="E302" s="19">
        <v>6016.4585393772904</v>
      </c>
      <c r="F302" s="19">
        <v>4398.7853937728996</v>
      </c>
      <c r="G302" s="19">
        <v>6559.4658882783897</v>
      </c>
      <c r="H302" s="19">
        <v>3855.1665979853501</v>
      </c>
      <c r="I302" s="19">
        <v>7636.7212454212504</v>
      </c>
      <c r="J302" s="19">
        <v>6668.55723443223</v>
      </c>
      <c r="K302" s="19">
        <v>4598.2172619047597</v>
      </c>
      <c r="L302" s="20">
        <f t="shared" si="4"/>
        <v>56043.359088827841</v>
      </c>
    </row>
    <row r="303" spans="1:12" ht="19.8" x14ac:dyDescent="0.3">
      <c r="A303" s="18">
        <v>45989</v>
      </c>
      <c r="B303" s="19">
        <v>5480.68461538462</v>
      </c>
      <c r="C303" s="19">
        <v>4036.6381410256399</v>
      </c>
      <c r="D303" s="19">
        <v>6785.0903846153797</v>
      </c>
      <c r="E303" s="19">
        <v>6016.3161858974399</v>
      </c>
      <c r="F303" s="19">
        <v>4392.1181089743604</v>
      </c>
      <c r="G303" s="19">
        <v>6562.3157051281996</v>
      </c>
      <c r="H303" s="19">
        <v>3846.9814102564101</v>
      </c>
      <c r="I303" s="19">
        <v>7643.4844551282104</v>
      </c>
      <c r="J303" s="19">
        <v>6670.8421474359002</v>
      </c>
      <c r="K303" s="19">
        <v>4592.0416666666697</v>
      </c>
      <c r="L303" s="20">
        <f t="shared" si="4"/>
        <v>56026.512820512828</v>
      </c>
    </row>
    <row r="304" spans="1:12" ht="19.8" x14ac:dyDescent="0.3">
      <c r="A304" s="18">
        <v>45990</v>
      </c>
      <c r="B304" s="19">
        <v>5478.0751373626399</v>
      </c>
      <c r="C304" s="19">
        <v>4028.44739010989</v>
      </c>
      <c r="D304" s="19">
        <v>6788.31682692308</v>
      </c>
      <c r="E304" s="19">
        <v>6016.1738324175803</v>
      </c>
      <c r="F304" s="19">
        <v>4385.4508241758303</v>
      </c>
      <c r="G304" s="19">
        <v>6565.1655219780196</v>
      </c>
      <c r="H304" s="19">
        <v>3838.79622252747</v>
      </c>
      <c r="I304" s="19">
        <v>7650.2476648351603</v>
      </c>
      <c r="J304" s="19">
        <v>6673.1270604395604</v>
      </c>
      <c r="K304" s="19">
        <v>4585.8660714285697</v>
      </c>
      <c r="L304" s="20">
        <f t="shared" si="4"/>
        <v>56009.666552197807</v>
      </c>
    </row>
    <row r="305" spans="1:12" ht="19.8" x14ac:dyDescent="0.3">
      <c r="A305" s="18">
        <v>45991</v>
      </c>
      <c r="B305" s="19">
        <v>5475.4656593406598</v>
      </c>
      <c r="C305" s="19">
        <v>4020.25663919414</v>
      </c>
      <c r="D305" s="19">
        <v>6791.5432692307704</v>
      </c>
      <c r="E305" s="19">
        <v>6016.0314789377298</v>
      </c>
      <c r="F305" s="19">
        <v>4378.7835393772903</v>
      </c>
      <c r="G305" s="19">
        <v>6568.0153388278404</v>
      </c>
      <c r="H305" s="19">
        <v>3830.61103479854</v>
      </c>
      <c r="I305" s="19">
        <v>7657.0108745421203</v>
      </c>
      <c r="J305" s="19">
        <v>6675.4119734432197</v>
      </c>
      <c r="K305" s="19">
        <v>4579.6904761904798</v>
      </c>
      <c r="L305" s="20">
        <f t="shared" si="4"/>
        <v>55992.820283882793</v>
      </c>
    </row>
    <row r="306" spans="1:12" ht="19.8" x14ac:dyDescent="0.3">
      <c r="A306" s="18">
        <v>45992</v>
      </c>
      <c r="B306" s="19">
        <v>5472.8561813186798</v>
      </c>
      <c r="C306" s="19">
        <v>4012.06588827839</v>
      </c>
      <c r="D306" s="19">
        <v>6794.7697115384599</v>
      </c>
      <c r="E306" s="19">
        <v>6015.8891254578803</v>
      </c>
      <c r="F306" s="19">
        <v>4372.1162545787602</v>
      </c>
      <c r="G306" s="19">
        <v>6570.8651556776604</v>
      </c>
      <c r="H306" s="19">
        <v>3822.4258470696</v>
      </c>
      <c r="I306" s="19">
        <v>7663.7740842490803</v>
      </c>
      <c r="J306" s="19">
        <v>6677.6968864468899</v>
      </c>
      <c r="K306" s="19">
        <v>4573.5148809523798</v>
      </c>
      <c r="L306" s="20">
        <f t="shared" si="4"/>
        <v>55975.974015567779</v>
      </c>
    </row>
    <row r="307" spans="1:12" ht="19.8" x14ac:dyDescent="0.3">
      <c r="A307" s="18">
        <v>45993</v>
      </c>
      <c r="B307" s="19">
        <v>5470.2467032966997</v>
      </c>
      <c r="C307" s="19">
        <v>4003.8751373626301</v>
      </c>
      <c r="D307" s="19">
        <v>6797.9961538461503</v>
      </c>
      <c r="E307" s="19">
        <v>6015.7467719780198</v>
      </c>
      <c r="F307" s="19">
        <v>4365.4489697802201</v>
      </c>
      <c r="G307" s="19">
        <v>6573.7149725274703</v>
      </c>
      <c r="H307" s="19">
        <v>3814.2406593406599</v>
      </c>
      <c r="I307" s="19">
        <v>7670.5372939560402</v>
      </c>
      <c r="J307" s="19">
        <v>6679.9817994505502</v>
      </c>
      <c r="K307" s="19">
        <v>4567.3392857142899</v>
      </c>
      <c r="L307" s="20">
        <f t="shared" si="4"/>
        <v>55959.127747252736</v>
      </c>
    </row>
    <row r="308" spans="1:12" ht="19.8" x14ac:dyDescent="0.3">
      <c r="A308" s="18">
        <v>45994</v>
      </c>
      <c r="B308" s="19">
        <v>5467.6372252747296</v>
      </c>
      <c r="C308" s="19">
        <v>3995.6843864468801</v>
      </c>
      <c r="D308" s="19">
        <v>6801.2225961538497</v>
      </c>
      <c r="E308" s="19">
        <v>6015.6044184981702</v>
      </c>
      <c r="F308" s="19">
        <v>4358.78168498169</v>
      </c>
      <c r="G308" s="19">
        <v>6576.5647893772903</v>
      </c>
      <c r="H308" s="19">
        <v>3806.0554716117199</v>
      </c>
      <c r="I308" s="19">
        <v>7677.3005036630002</v>
      </c>
      <c r="J308" s="19">
        <v>6682.2667124542104</v>
      </c>
      <c r="K308" s="19">
        <v>4561.1636904761899</v>
      </c>
      <c r="L308" s="20">
        <f t="shared" si="4"/>
        <v>55942.28147893773</v>
      </c>
    </row>
    <row r="309" spans="1:12" ht="19.8" x14ac:dyDescent="0.3">
      <c r="A309" s="18">
        <v>45995</v>
      </c>
      <c r="B309" s="19">
        <v>5465.0277472527496</v>
      </c>
      <c r="C309" s="19">
        <v>3987.4936355311302</v>
      </c>
      <c r="D309" s="19">
        <v>6804.4490384615401</v>
      </c>
      <c r="E309" s="19">
        <v>6015.4620650183197</v>
      </c>
      <c r="F309" s="19">
        <v>4352.1144001831499</v>
      </c>
      <c r="G309" s="19">
        <v>6579.4146062271102</v>
      </c>
      <c r="H309" s="19">
        <v>3797.8702838827799</v>
      </c>
      <c r="I309" s="19">
        <v>7684.0637133699602</v>
      </c>
      <c r="J309" s="19">
        <v>6684.5516254578797</v>
      </c>
      <c r="K309" s="19">
        <v>4554.9880952381</v>
      </c>
      <c r="L309" s="20">
        <f t="shared" si="4"/>
        <v>55925.435210622723</v>
      </c>
    </row>
    <row r="310" spans="1:12" ht="19.8" x14ac:dyDescent="0.3">
      <c r="A310" s="18">
        <v>45996</v>
      </c>
      <c r="B310" s="19">
        <v>5462.4182692307704</v>
      </c>
      <c r="C310" s="19">
        <v>3979.3028846153802</v>
      </c>
      <c r="D310" s="19">
        <v>6807.6754807692296</v>
      </c>
      <c r="E310" s="19">
        <v>6015.3197115384601</v>
      </c>
      <c r="F310" s="19">
        <v>4345.4471153846198</v>
      </c>
      <c r="G310" s="19">
        <v>6582.2644230769201</v>
      </c>
      <c r="H310" s="19">
        <v>3789.6850961538498</v>
      </c>
      <c r="I310" s="19">
        <v>7690.8269230769201</v>
      </c>
      <c r="J310" s="19">
        <v>6686.8365384615399</v>
      </c>
      <c r="K310" s="19">
        <v>4548.8125</v>
      </c>
      <c r="L310" s="20">
        <f t="shared" si="4"/>
        <v>55908.588942307695</v>
      </c>
    </row>
    <row r="311" spans="1:12" ht="19.8" x14ac:dyDescent="0.3">
      <c r="A311" s="18">
        <v>45997</v>
      </c>
      <c r="B311" s="19">
        <v>5459.8087912087904</v>
      </c>
      <c r="C311" s="19">
        <v>3971.1121336996298</v>
      </c>
      <c r="D311" s="19">
        <v>6810.90192307692</v>
      </c>
      <c r="E311" s="19">
        <v>6015.1773580586096</v>
      </c>
      <c r="F311" s="19">
        <v>4338.7798305860897</v>
      </c>
      <c r="G311" s="19">
        <v>6585.1142399267401</v>
      </c>
      <c r="H311" s="19">
        <v>3781.4999084249098</v>
      </c>
      <c r="I311" s="19">
        <v>7697.5901327838801</v>
      </c>
      <c r="J311" s="19">
        <v>6689.1214514652002</v>
      </c>
      <c r="K311" s="19">
        <v>4542.63690476191</v>
      </c>
      <c r="L311" s="20">
        <f t="shared" si="4"/>
        <v>55891.742673992674</v>
      </c>
    </row>
    <row r="312" spans="1:12" ht="19.8" x14ac:dyDescent="0.3">
      <c r="A312" s="18">
        <v>45998</v>
      </c>
      <c r="B312" s="19">
        <v>5457.1993131868103</v>
      </c>
      <c r="C312" s="19">
        <v>3962.9213827838798</v>
      </c>
      <c r="D312" s="19">
        <v>6814.1283653846103</v>
      </c>
      <c r="E312" s="19">
        <v>6015.03500457876</v>
      </c>
      <c r="F312" s="19">
        <v>4332.1125457875496</v>
      </c>
      <c r="G312" s="19">
        <v>6587.96405677656</v>
      </c>
      <c r="H312" s="19">
        <v>3773.3147206959702</v>
      </c>
      <c r="I312" s="19">
        <v>7704.3533424908401</v>
      </c>
      <c r="J312" s="19">
        <v>6691.4063644688604</v>
      </c>
      <c r="K312" s="19">
        <v>4536.4613095238101</v>
      </c>
      <c r="L312" s="20">
        <f t="shared" si="4"/>
        <v>55874.896405677646</v>
      </c>
    </row>
    <row r="313" spans="1:12" ht="19.8" x14ac:dyDescent="0.3">
      <c r="A313" s="18">
        <v>45999</v>
      </c>
      <c r="B313" s="19">
        <v>5454.5898351648302</v>
      </c>
      <c r="C313" s="19">
        <v>3954.7306318681299</v>
      </c>
      <c r="D313" s="19">
        <v>6817.3548076923098</v>
      </c>
      <c r="E313" s="19">
        <v>6014.8926510989004</v>
      </c>
      <c r="F313" s="19">
        <v>4325.4452609890204</v>
      </c>
      <c r="G313" s="19">
        <v>6590.81387362637</v>
      </c>
      <c r="H313" s="19">
        <v>3765.1295329670302</v>
      </c>
      <c r="I313" s="19">
        <v>7711.1165521978</v>
      </c>
      <c r="J313" s="19">
        <v>6693.6912774725297</v>
      </c>
      <c r="K313" s="19">
        <v>4530.2857142857101</v>
      </c>
      <c r="L313" s="20">
        <f t="shared" si="4"/>
        <v>55858.050137362625</v>
      </c>
    </row>
    <row r="314" spans="1:12" ht="19.8" x14ac:dyDescent="0.3">
      <c r="A314" s="18">
        <v>46000</v>
      </c>
      <c r="B314" s="19">
        <v>5451.9803571428602</v>
      </c>
      <c r="C314" s="19">
        <v>3946.5398809523799</v>
      </c>
      <c r="D314" s="19">
        <v>6820.5812500000002</v>
      </c>
      <c r="E314" s="19">
        <v>6014.7502976190499</v>
      </c>
      <c r="F314" s="19">
        <v>4318.7779761904803</v>
      </c>
      <c r="G314" s="19">
        <v>6593.6636904761899</v>
      </c>
      <c r="H314" s="19">
        <v>3756.9443452381001</v>
      </c>
      <c r="I314" s="19">
        <v>7717.87976190476</v>
      </c>
      <c r="J314" s="19">
        <v>6695.9761904761899</v>
      </c>
      <c r="K314" s="19">
        <v>4524.1101190476202</v>
      </c>
      <c r="L314" s="20">
        <f t="shared" si="4"/>
        <v>55841.203869047633</v>
      </c>
    </row>
    <row r="315" spans="1:12" ht="19.8" x14ac:dyDescent="0.3">
      <c r="A315" s="18">
        <v>46001</v>
      </c>
      <c r="B315" s="19">
        <v>5449.3708791208801</v>
      </c>
      <c r="C315" s="19">
        <v>3938.34913003663</v>
      </c>
      <c r="D315" s="19">
        <v>6823.8076923076896</v>
      </c>
      <c r="E315" s="19">
        <v>6014.6079441391903</v>
      </c>
      <c r="F315" s="19">
        <v>4312.1106913919502</v>
      </c>
      <c r="G315" s="19">
        <v>6596.5135073260099</v>
      </c>
      <c r="H315" s="19">
        <v>3748.7591575091601</v>
      </c>
      <c r="I315" s="19">
        <v>7724.64297161172</v>
      </c>
      <c r="J315" s="19">
        <v>6698.2611034798501</v>
      </c>
      <c r="K315" s="19">
        <v>4517.9345238095202</v>
      </c>
      <c r="L315" s="20">
        <f t="shared" si="4"/>
        <v>55824.357600732597</v>
      </c>
    </row>
    <row r="316" spans="1:12" ht="19.8" x14ac:dyDescent="0.3">
      <c r="A316" s="18">
        <v>46002</v>
      </c>
      <c r="B316" s="19">
        <v>5446.7614010989</v>
      </c>
      <c r="C316" s="19">
        <v>3930.15837912088</v>
      </c>
      <c r="D316" s="19">
        <v>6827.03413461538</v>
      </c>
      <c r="E316" s="19">
        <v>6014.4655906593398</v>
      </c>
      <c r="F316" s="19">
        <v>4305.4434065934101</v>
      </c>
      <c r="G316" s="19">
        <v>6599.3633241758198</v>
      </c>
      <c r="H316" s="19">
        <v>3740.5739697802201</v>
      </c>
      <c r="I316" s="19">
        <v>7731.40618131868</v>
      </c>
      <c r="J316" s="19">
        <v>6700.5460164835204</v>
      </c>
      <c r="K316" s="19">
        <v>4511.7589285714303</v>
      </c>
      <c r="L316" s="20">
        <f t="shared" si="4"/>
        <v>55807.511332417584</v>
      </c>
    </row>
    <row r="317" spans="1:12" ht="19.8" x14ac:dyDescent="0.3">
      <c r="A317" s="18">
        <v>46003</v>
      </c>
      <c r="B317" s="19">
        <v>5444.15192307692</v>
      </c>
      <c r="C317" s="19">
        <v>3921.96762820513</v>
      </c>
      <c r="D317" s="19">
        <v>6830.2605769230804</v>
      </c>
      <c r="E317" s="19">
        <v>6014.3232371794902</v>
      </c>
      <c r="F317" s="19">
        <v>4298.7761217948801</v>
      </c>
      <c r="G317" s="19">
        <v>6602.2131410256397</v>
      </c>
      <c r="H317" s="19">
        <v>3732.38878205128</v>
      </c>
      <c r="I317" s="19">
        <v>7738.1693910256399</v>
      </c>
      <c r="J317" s="19">
        <v>6702.8309294871797</v>
      </c>
      <c r="K317" s="19">
        <v>4505.5833333333303</v>
      </c>
      <c r="L317" s="20">
        <f t="shared" si="4"/>
        <v>55790.66506410257</v>
      </c>
    </row>
    <row r="318" spans="1:12" ht="19.8" x14ac:dyDescent="0.3">
      <c r="A318" s="18">
        <v>46004</v>
      </c>
      <c r="B318" s="19">
        <v>5441.5424450549499</v>
      </c>
      <c r="C318" s="19">
        <v>3913.7768772893701</v>
      </c>
      <c r="D318" s="19">
        <v>6833.4870192307699</v>
      </c>
      <c r="E318" s="19">
        <v>6014.1808836996297</v>
      </c>
      <c r="F318" s="19">
        <v>4292.10883699634</v>
      </c>
      <c r="G318" s="19">
        <v>6605.0629578754597</v>
      </c>
      <c r="H318" s="19">
        <v>3724.20359432234</v>
      </c>
      <c r="I318" s="19">
        <v>7744.9326007325999</v>
      </c>
      <c r="J318" s="19">
        <v>6705.1158424908399</v>
      </c>
      <c r="K318" s="19">
        <v>4499.4077380952403</v>
      </c>
      <c r="L318" s="20">
        <f t="shared" si="4"/>
        <v>55773.818795787534</v>
      </c>
    </row>
    <row r="319" spans="1:12" ht="19.8" x14ac:dyDescent="0.3">
      <c r="A319" s="18">
        <v>46005</v>
      </c>
      <c r="B319" s="19">
        <v>5438.9329670329698</v>
      </c>
      <c r="C319" s="19">
        <v>3905.5861263736201</v>
      </c>
      <c r="D319" s="19">
        <v>6836.7134615384603</v>
      </c>
      <c r="E319" s="19">
        <v>6014.0385302197801</v>
      </c>
      <c r="F319" s="19">
        <v>4285.4415521978099</v>
      </c>
      <c r="G319" s="19">
        <v>6607.9127747252696</v>
      </c>
      <c r="H319" s="19">
        <v>3716.01840659341</v>
      </c>
      <c r="I319" s="19">
        <v>7751.6958104395599</v>
      </c>
      <c r="J319" s="19">
        <v>6707.4007554945101</v>
      </c>
      <c r="K319" s="19">
        <v>4493.2321428571404</v>
      </c>
      <c r="L319" s="20">
        <f t="shared" si="4"/>
        <v>55756.972527472528</v>
      </c>
    </row>
    <row r="320" spans="1:12" ht="19.8" x14ac:dyDescent="0.3">
      <c r="A320" s="18">
        <v>46006</v>
      </c>
      <c r="B320" s="19">
        <v>5436.3234890109898</v>
      </c>
      <c r="C320" s="19">
        <v>3897.3953754578702</v>
      </c>
      <c r="D320" s="19">
        <v>6839.9399038461497</v>
      </c>
      <c r="E320" s="19">
        <v>6013.8961767399296</v>
      </c>
      <c r="F320" s="19">
        <v>4278.7742673992698</v>
      </c>
      <c r="G320" s="19">
        <v>6610.7625915750896</v>
      </c>
      <c r="H320" s="19">
        <v>3707.8332188644699</v>
      </c>
      <c r="I320" s="19">
        <v>7758.4590201465198</v>
      </c>
      <c r="J320" s="19">
        <v>6709.6856684981703</v>
      </c>
      <c r="K320" s="19">
        <v>4487.0565476190504</v>
      </c>
      <c r="L320" s="20">
        <f t="shared" si="4"/>
        <v>55740.126259157507</v>
      </c>
    </row>
    <row r="321" spans="1:12" ht="19.8" x14ac:dyDescent="0.3">
      <c r="A321" s="18">
        <v>46007</v>
      </c>
      <c r="B321" s="19">
        <v>5433.7140109890097</v>
      </c>
      <c r="C321" s="19">
        <v>3889.2046245421202</v>
      </c>
      <c r="D321" s="19">
        <v>6843.1663461538501</v>
      </c>
      <c r="E321" s="19">
        <v>6013.75382326007</v>
      </c>
      <c r="F321" s="19">
        <v>4272.1069826007397</v>
      </c>
      <c r="G321" s="19">
        <v>6613.6124084249104</v>
      </c>
      <c r="H321" s="19">
        <v>3699.6480311355299</v>
      </c>
      <c r="I321" s="19">
        <v>7765.2222298534798</v>
      </c>
      <c r="J321" s="19">
        <v>6711.9705815018297</v>
      </c>
      <c r="K321" s="19">
        <v>4480.8809523809496</v>
      </c>
      <c r="L321" s="20">
        <f t="shared" si="4"/>
        <v>55723.279990842486</v>
      </c>
    </row>
    <row r="322" spans="1:12" ht="19.8" x14ac:dyDescent="0.3">
      <c r="A322" s="18">
        <v>46008</v>
      </c>
      <c r="B322" s="19">
        <v>5431.1045329670296</v>
      </c>
      <c r="C322" s="19">
        <v>3881.0138736263698</v>
      </c>
      <c r="D322" s="19">
        <v>6846.3927884615396</v>
      </c>
      <c r="E322" s="19">
        <v>6013.6114697802204</v>
      </c>
      <c r="F322" s="19">
        <v>4265.4396978021996</v>
      </c>
      <c r="G322" s="19">
        <v>6616.4622252747304</v>
      </c>
      <c r="H322" s="19">
        <v>3691.4628434065899</v>
      </c>
      <c r="I322" s="19">
        <v>7771.9854395604398</v>
      </c>
      <c r="J322" s="19">
        <v>6714.2554945054899</v>
      </c>
      <c r="K322" s="19">
        <v>4474.7053571428596</v>
      </c>
      <c r="L322" s="20">
        <f t="shared" si="4"/>
        <v>55706.433722527465</v>
      </c>
    </row>
    <row r="323" spans="1:12" ht="19.8" x14ac:dyDescent="0.3">
      <c r="A323" s="18">
        <v>46009</v>
      </c>
      <c r="B323" s="19">
        <v>5428.4950549450496</v>
      </c>
      <c r="C323" s="19">
        <v>3872.8231227106198</v>
      </c>
      <c r="D323" s="19">
        <v>6849.6192307692299</v>
      </c>
      <c r="E323" s="19">
        <v>6013.4691163003699</v>
      </c>
      <c r="F323" s="19">
        <v>4258.7724130036704</v>
      </c>
      <c r="G323" s="19">
        <v>6619.3120421245403</v>
      </c>
      <c r="H323" s="19">
        <v>3683.2776556776598</v>
      </c>
      <c r="I323" s="19">
        <v>7778.7486492673997</v>
      </c>
      <c r="J323" s="19">
        <v>6716.5404075091601</v>
      </c>
      <c r="K323" s="19">
        <v>4468.5297619047597</v>
      </c>
      <c r="L323" s="20">
        <f t="shared" ref="L323:L336" si="5">SUM(B323:K323)</f>
        <v>55689.587454212451</v>
      </c>
    </row>
    <row r="324" spans="1:12" ht="19.8" x14ac:dyDescent="0.3">
      <c r="A324" s="18">
        <v>46010</v>
      </c>
      <c r="B324" s="19">
        <v>5425.8855769230804</v>
      </c>
      <c r="C324" s="19">
        <v>3864.6323717948699</v>
      </c>
      <c r="D324" s="19">
        <v>6852.8456730769203</v>
      </c>
      <c r="E324" s="19">
        <v>6013.3267628205103</v>
      </c>
      <c r="F324" s="19">
        <v>4252.1051282051303</v>
      </c>
      <c r="G324" s="19">
        <v>6622.1618589743603</v>
      </c>
      <c r="H324" s="19">
        <v>3675.0924679487198</v>
      </c>
      <c r="I324" s="19">
        <v>7785.5118589743597</v>
      </c>
      <c r="J324" s="19">
        <v>6718.8253205128203</v>
      </c>
      <c r="K324" s="19">
        <v>4462.3541666666697</v>
      </c>
      <c r="L324" s="20">
        <f t="shared" si="5"/>
        <v>55672.741185897445</v>
      </c>
    </row>
    <row r="325" spans="1:12" ht="19.8" x14ac:dyDescent="0.3">
      <c r="A325" s="18">
        <v>46011</v>
      </c>
      <c r="B325" s="19">
        <v>5423.2760989011003</v>
      </c>
      <c r="C325" s="19">
        <v>3856.4416208791199</v>
      </c>
      <c r="D325" s="19">
        <v>6856.0721153846198</v>
      </c>
      <c r="E325" s="19">
        <v>6013.1844093406598</v>
      </c>
      <c r="F325" s="19">
        <v>4245.4378434066002</v>
      </c>
      <c r="G325" s="19">
        <v>6625.0116758241802</v>
      </c>
      <c r="H325" s="19">
        <v>3666.9072802197802</v>
      </c>
      <c r="I325" s="19">
        <v>7792.2750686813197</v>
      </c>
      <c r="J325" s="19">
        <v>6721.1102335164796</v>
      </c>
      <c r="K325" s="19">
        <v>4456.1785714285697</v>
      </c>
      <c r="L325" s="20">
        <f t="shared" si="5"/>
        <v>55655.894917582431</v>
      </c>
    </row>
    <row r="326" spans="1:12" ht="19.8" x14ac:dyDescent="0.3">
      <c r="A326" s="18">
        <v>46012</v>
      </c>
      <c r="B326" s="19">
        <v>5420.6666208791203</v>
      </c>
      <c r="C326" s="19">
        <v>3848.25086996337</v>
      </c>
      <c r="D326" s="19">
        <v>6859.2985576923102</v>
      </c>
      <c r="E326" s="19">
        <v>6013.0420558608103</v>
      </c>
      <c r="F326" s="19">
        <v>4238.7705586080601</v>
      </c>
      <c r="G326" s="19">
        <v>6627.8614926739901</v>
      </c>
      <c r="H326" s="19">
        <v>3658.7220924908402</v>
      </c>
      <c r="I326" s="19">
        <v>7799.0382783882797</v>
      </c>
      <c r="J326" s="19">
        <v>6723.3951465201499</v>
      </c>
      <c r="K326" s="19">
        <v>4450.0029761904798</v>
      </c>
      <c r="L326" s="20">
        <f t="shared" si="5"/>
        <v>55639.048649267403</v>
      </c>
    </row>
    <row r="327" spans="1:12" ht="19.8" x14ac:dyDescent="0.3">
      <c r="A327" s="18">
        <v>46013</v>
      </c>
      <c r="B327" s="19">
        <v>5418.0571428571402</v>
      </c>
      <c r="C327" s="19">
        <v>3840.06011904762</v>
      </c>
      <c r="D327" s="19">
        <v>6862.5249999999996</v>
      </c>
      <c r="E327" s="19">
        <v>6012.8997023809497</v>
      </c>
      <c r="F327" s="19">
        <v>4232.10327380953</v>
      </c>
      <c r="G327" s="19">
        <v>6630.7113095238101</v>
      </c>
      <c r="H327" s="19">
        <v>3650.5369047619101</v>
      </c>
      <c r="I327" s="19">
        <v>7805.8014880952396</v>
      </c>
      <c r="J327" s="19">
        <v>6725.6800595238101</v>
      </c>
      <c r="K327" s="19">
        <v>4443.8273809523798</v>
      </c>
      <c r="L327" s="20">
        <f t="shared" si="5"/>
        <v>55622.202380952389</v>
      </c>
    </row>
    <row r="328" spans="1:12" ht="19.8" x14ac:dyDescent="0.3">
      <c r="A328" s="18">
        <v>46014</v>
      </c>
      <c r="B328" s="19">
        <v>5415.4476648351601</v>
      </c>
      <c r="C328" s="19">
        <v>3831.86936813187</v>
      </c>
      <c r="D328" s="19">
        <v>6865.75144230769</v>
      </c>
      <c r="E328" s="19">
        <v>6012.7573489011002</v>
      </c>
      <c r="F328" s="19">
        <v>4225.4359890109899</v>
      </c>
      <c r="G328" s="19">
        <v>6633.56112637363</v>
      </c>
      <c r="H328" s="19">
        <v>3642.3517170329701</v>
      </c>
      <c r="I328" s="19">
        <v>7812.5646978021996</v>
      </c>
      <c r="J328" s="19">
        <v>6727.9649725274703</v>
      </c>
      <c r="K328" s="19">
        <v>4437.6517857142899</v>
      </c>
      <c r="L328" s="20">
        <f t="shared" si="5"/>
        <v>55605.356112637368</v>
      </c>
    </row>
    <row r="329" spans="1:12" ht="19.8" x14ac:dyDescent="0.3">
      <c r="A329" s="18">
        <v>46015</v>
      </c>
      <c r="B329" s="19">
        <v>5412.8381868131901</v>
      </c>
      <c r="C329" s="19">
        <v>3823.6786172161101</v>
      </c>
      <c r="D329" s="19">
        <v>6868.9778846153804</v>
      </c>
      <c r="E329" s="19">
        <v>6012.6149954212497</v>
      </c>
      <c r="F329" s="19">
        <v>4218.7687042124599</v>
      </c>
      <c r="G329" s="19">
        <v>6636.41094322344</v>
      </c>
      <c r="H329" s="19">
        <v>3634.1665293040301</v>
      </c>
      <c r="I329" s="19">
        <v>7819.3279075091596</v>
      </c>
      <c r="J329" s="19">
        <v>6730.2498855311396</v>
      </c>
      <c r="K329" s="19">
        <v>4431.4761904761899</v>
      </c>
      <c r="L329" s="20">
        <f t="shared" si="5"/>
        <v>55588.509844322347</v>
      </c>
    </row>
    <row r="330" spans="1:12" ht="19.8" x14ac:dyDescent="0.3">
      <c r="A330" s="18">
        <v>46016</v>
      </c>
      <c r="B330" s="19">
        <v>5410.22870879121</v>
      </c>
      <c r="C330" s="19">
        <v>3815.4878663003601</v>
      </c>
      <c r="D330" s="19">
        <v>6872.2043269230699</v>
      </c>
      <c r="E330" s="19">
        <v>6012.4726419413901</v>
      </c>
      <c r="F330" s="19">
        <v>4212.1014194139198</v>
      </c>
      <c r="G330" s="19">
        <v>6639.2607600732599</v>
      </c>
      <c r="H330" s="19">
        <v>3625.98134157509</v>
      </c>
      <c r="I330" s="19">
        <v>7826.0911172161204</v>
      </c>
      <c r="J330" s="19">
        <v>6732.5347985347998</v>
      </c>
      <c r="K330" s="19">
        <v>4425.3005952381</v>
      </c>
      <c r="L330" s="20">
        <f t="shared" si="5"/>
        <v>55571.663576007319</v>
      </c>
    </row>
    <row r="331" spans="1:12" ht="19.8" x14ac:dyDescent="0.3">
      <c r="A331" s="18">
        <v>46017</v>
      </c>
      <c r="B331" s="19">
        <v>5407.6192307692299</v>
      </c>
      <c r="C331" s="19">
        <v>3807.2971153846102</v>
      </c>
      <c r="D331" s="19">
        <v>6875.4307692307702</v>
      </c>
      <c r="E331" s="19">
        <v>6012.3302884615396</v>
      </c>
      <c r="F331" s="19">
        <v>4205.4341346153897</v>
      </c>
      <c r="G331" s="19">
        <v>6642.1105769230799</v>
      </c>
      <c r="H331" s="19">
        <v>3617.79615384615</v>
      </c>
      <c r="I331" s="19">
        <v>7832.8543269230804</v>
      </c>
      <c r="J331" s="19">
        <v>6734.8197115384601</v>
      </c>
      <c r="K331" s="19">
        <v>4419.125</v>
      </c>
      <c r="L331" s="20">
        <f t="shared" si="5"/>
        <v>55554.817307692312</v>
      </c>
    </row>
    <row r="332" spans="1:12" ht="19.8" x14ac:dyDescent="0.3">
      <c r="A332" s="18">
        <v>46018</v>
      </c>
      <c r="B332" s="19">
        <v>5405.0097527472499</v>
      </c>
      <c r="C332" s="19">
        <v>3799.1063644688602</v>
      </c>
      <c r="D332" s="19">
        <v>6878.6572115384597</v>
      </c>
      <c r="E332" s="19">
        <v>6012.18793498169</v>
      </c>
      <c r="F332" s="19">
        <v>4198.7668498168496</v>
      </c>
      <c r="G332" s="19">
        <v>6644.9603937728898</v>
      </c>
      <c r="H332" s="19">
        <v>3609.61096611722</v>
      </c>
      <c r="I332" s="19">
        <v>7839.6175366300404</v>
      </c>
      <c r="J332" s="19">
        <v>6737.1046245421203</v>
      </c>
      <c r="K332" s="19">
        <v>4412.94940476191</v>
      </c>
      <c r="L332" s="20">
        <f t="shared" si="5"/>
        <v>55537.971039377284</v>
      </c>
    </row>
    <row r="333" spans="1:12" ht="19.8" x14ac:dyDescent="0.3">
      <c r="A333" s="18">
        <v>46019</v>
      </c>
      <c r="B333" s="19">
        <v>5402.4002747252698</v>
      </c>
      <c r="C333" s="19">
        <v>3790.9156135531098</v>
      </c>
      <c r="D333" s="19">
        <v>6881.8836538461501</v>
      </c>
      <c r="E333" s="19">
        <v>6012.0455815018304</v>
      </c>
      <c r="F333" s="19">
        <v>4192.0995650183204</v>
      </c>
      <c r="G333" s="19">
        <v>6647.8102106227097</v>
      </c>
      <c r="H333" s="19">
        <v>3601.4257783882799</v>
      </c>
      <c r="I333" s="19">
        <v>7846.3807463370003</v>
      </c>
      <c r="J333" s="19">
        <v>6739.3895375457896</v>
      </c>
      <c r="K333" s="19">
        <v>4406.7738095238101</v>
      </c>
      <c r="L333" s="20">
        <f t="shared" si="5"/>
        <v>55521.12477106227</v>
      </c>
    </row>
    <row r="334" spans="1:12" ht="19.8" x14ac:dyDescent="0.3">
      <c r="A334" s="18">
        <v>46020</v>
      </c>
      <c r="B334" s="19">
        <v>5399.7907967032997</v>
      </c>
      <c r="C334" s="19">
        <v>3782.7248626373598</v>
      </c>
      <c r="D334" s="19">
        <v>6885.1100961538395</v>
      </c>
      <c r="E334" s="19">
        <v>6011.9032280219799</v>
      </c>
      <c r="F334" s="19">
        <v>4185.4322802197803</v>
      </c>
      <c r="G334" s="19">
        <v>6650.6600274725297</v>
      </c>
      <c r="H334" s="19">
        <v>3593.2405906593399</v>
      </c>
      <c r="I334" s="19">
        <v>7853.1439560439603</v>
      </c>
      <c r="J334" s="19">
        <v>6741.6744505494498</v>
      </c>
      <c r="K334" s="19">
        <v>4400.5982142857101</v>
      </c>
      <c r="L334" s="20">
        <f t="shared" si="5"/>
        <v>55504.278502747249</v>
      </c>
    </row>
    <row r="335" spans="1:12" ht="19.8" x14ac:dyDescent="0.3">
      <c r="A335" s="18">
        <v>46021</v>
      </c>
      <c r="B335" s="19">
        <v>5397.1813186813197</v>
      </c>
      <c r="C335" s="19">
        <v>3774.5341117216099</v>
      </c>
      <c r="D335" s="19">
        <v>6888.3365384615399</v>
      </c>
      <c r="E335" s="19">
        <v>6011.7608745421303</v>
      </c>
      <c r="F335" s="19">
        <v>4178.7649954212502</v>
      </c>
      <c r="G335" s="19">
        <v>6653.5098443223396</v>
      </c>
      <c r="H335" s="19">
        <v>3585.0554029303999</v>
      </c>
      <c r="I335" s="19">
        <v>7859.9071657509203</v>
      </c>
      <c r="J335" s="19">
        <v>6743.9593635531101</v>
      </c>
      <c r="K335" s="19">
        <v>4394.4226190476202</v>
      </c>
      <c r="L335" s="20">
        <f t="shared" si="5"/>
        <v>55487.432234432243</v>
      </c>
    </row>
    <row r="336" spans="1:12" ht="19.8" x14ac:dyDescent="0.3">
      <c r="A336" s="18">
        <v>46022</v>
      </c>
      <c r="B336" s="19">
        <v>5394.5718406593396</v>
      </c>
      <c r="C336" s="19">
        <v>3766.3433608058599</v>
      </c>
      <c r="D336" s="19">
        <v>6891.5629807692303</v>
      </c>
      <c r="E336" s="19">
        <v>6011.6185210622698</v>
      </c>
      <c r="F336" s="19">
        <v>4172.0977106227201</v>
      </c>
      <c r="G336" s="19">
        <v>6656.3596611721596</v>
      </c>
      <c r="H336" s="19">
        <v>3576.8702152014698</v>
      </c>
      <c r="I336" s="19">
        <v>7866.6703754578803</v>
      </c>
      <c r="J336" s="19">
        <v>6746.2442765567803</v>
      </c>
      <c r="K336" s="19">
        <v>4388.2470238095202</v>
      </c>
      <c r="L336" s="20">
        <f t="shared" si="5"/>
        <v>55470.585966117229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0605-1963-40F2-80F8-83C5CCE3AF97}">
  <dimension ref="A3:B14"/>
  <sheetViews>
    <sheetView workbookViewId="0">
      <selection activeCell="B16" sqref="B16"/>
    </sheetView>
  </sheetViews>
  <sheetFormatPr defaultRowHeight="14.4" x14ac:dyDescent="0.3"/>
  <cols>
    <col min="1" max="1" width="14.5546875" bestFit="1" customWidth="1"/>
    <col min="2" max="2" width="11.6640625" bestFit="1" customWidth="1"/>
  </cols>
  <sheetData>
    <row r="3" spans="1:2" x14ac:dyDescent="0.3">
      <c r="A3" s="21" t="s">
        <v>67</v>
      </c>
      <c r="B3" t="s">
        <v>69</v>
      </c>
    </row>
    <row r="4" spans="1:2" x14ac:dyDescent="0.3">
      <c r="A4" s="22" t="s">
        <v>34</v>
      </c>
      <c r="B4" s="8">
        <v>309858</v>
      </c>
    </row>
    <row r="5" spans="1:2" x14ac:dyDescent="0.3">
      <c r="A5" s="23" t="s">
        <v>63</v>
      </c>
      <c r="B5" s="8">
        <v>42230</v>
      </c>
    </row>
    <row r="6" spans="1:2" x14ac:dyDescent="0.3">
      <c r="A6" s="23" t="s">
        <v>40</v>
      </c>
      <c r="B6" s="8">
        <v>72145</v>
      </c>
    </row>
    <row r="7" spans="1:2" x14ac:dyDescent="0.3">
      <c r="A7" s="23" t="s">
        <v>60</v>
      </c>
      <c r="B7" s="8">
        <v>48031</v>
      </c>
    </row>
    <row r="8" spans="1:2" x14ac:dyDescent="0.3">
      <c r="A8" s="23" t="s">
        <v>2</v>
      </c>
      <c r="B8" s="8">
        <v>61626</v>
      </c>
    </row>
    <row r="9" spans="1:2" x14ac:dyDescent="0.3">
      <c r="A9" s="23" t="s">
        <v>58</v>
      </c>
      <c r="B9" s="8">
        <v>59856</v>
      </c>
    </row>
    <row r="10" spans="1:2" x14ac:dyDescent="0.3">
      <c r="A10" s="23" t="s">
        <v>33</v>
      </c>
      <c r="B10" s="8">
        <v>25970</v>
      </c>
    </row>
    <row r="11" spans="1:2" x14ac:dyDescent="0.3">
      <c r="A11" s="22" t="s">
        <v>30</v>
      </c>
      <c r="B11" s="8">
        <v>524051</v>
      </c>
    </row>
    <row r="12" spans="1:2" x14ac:dyDescent="0.3">
      <c r="A12" s="22" t="s">
        <v>24</v>
      </c>
      <c r="B12" s="8">
        <v>509426</v>
      </c>
    </row>
    <row r="13" spans="1:2" x14ac:dyDescent="0.3">
      <c r="A13" s="22" t="s">
        <v>27</v>
      </c>
      <c r="B13" s="8">
        <v>509224</v>
      </c>
    </row>
    <row r="14" spans="1:2" x14ac:dyDescent="0.3">
      <c r="A14" s="22" t="s">
        <v>68</v>
      </c>
      <c r="B14" s="8">
        <v>1852559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A479-8AD4-4DFC-A9E7-EE6E08A107D2}">
  <dimension ref="A1:H39"/>
  <sheetViews>
    <sheetView workbookViewId="0">
      <selection activeCell="G16" sqref="G16"/>
    </sheetView>
  </sheetViews>
  <sheetFormatPr defaultRowHeight="14.4" x14ac:dyDescent="0.3"/>
  <cols>
    <col min="1" max="1" width="9.6640625" bestFit="1" customWidth="1"/>
    <col min="2" max="2" width="12.5546875" bestFit="1" customWidth="1"/>
    <col min="3" max="3" width="17.5546875" bestFit="1" customWidth="1"/>
    <col min="4" max="4" width="13.6640625" bestFit="1" customWidth="1"/>
    <col min="5" max="5" width="5.6640625" bestFit="1" customWidth="1"/>
    <col min="6" max="6" width="18.44140625" bestFit="1" customWidth="1"/>
    <col min="7" max="7" width="26.21875" bestFit="1" customWidth="1"/>
    <col min="8" max="8" width="13.33203125" bestFit="1" customWidth="1"/>
  </cols>
  <sheetData>
    <row r="1" spans="1:8" ht="19.8" x14ac:dyDescent="0.3">
      <c r="A1" s="10" t="s">
        <v>14</v>
      </c>
      <c r="B1" s="10" t="s">
        <v>15</v>
      </c>
      <c r="C1" s="10" t="s">
        <v>16</v>
      </c>
      <c r="D1" s="11" t="s">
        <v>17</v>
      </c>
      <c r="E1" s="10" t="s">
        <v>18</v>
      </c>
      <c r="F1" s="10" t="s">
        <v>19</v>
      </c>
      <c r="G1" s="10" t="s">
        <v>20</v>
      </c>
      <c r="H1" s="10" t="s">
        <v>21</v>
      </c>
    </row>
    <row r="2" spans="1:8" ht="18" x14ac:dyDescent="0.35">
      <c r="A2" s="12">
        <v>1001</v>
      </c>
      <c r="B2" s="12" t="s">
        <v>22</v>
      </c>
      <c r="C2" s="12" t="s">
        <v>23</v>
      </c>
      <c r="D2" s="13">
        <v>22000</v>
      </c>
      <c r="E2" s="12">
        <v>36</v>
      </c>
      <c r="F2" s="14" t="s">
        <v>24</v>
      </c>
      <c r="G2" s="15" t="s">
        <v>70</v>
      </c>
      <c r="H2" s="13">
        <v>29868</v>
      </c>
    </row>
    <row r="3" spans="1:8" ht="18" x14ac:dyDescent="0.35">
      <c r="A3" s="12">
        <v>1002</v>
      </c>
      <c r="B3" s="12" t="s">
        <v>26</v>
      </c>
      <c r="C3" s="12" t="s">
        <v>23</v>
      </c>
      <c r="D3" s="13">
        <v>22000</v>
      </c>
      <c r="E3" s="12">
        <v>27</v>
      </c>
      <c r="F3" s="14" t="s">
        <v>27</v>
      </c>
      <c r="G3" s="15" t="s">
        <v>28</v>
      </c>
      <c r="H3" s="13">
        <v>49533</v>
      </c>
    </row>
    <row r="4" spans="1:8" ht="18" x14ac:dyDescent="0.35">
      <c r="A4" s="12">
        <v>1003</v>
      </c>
      <c r="B4" s="12" t="s">
        <v>29</v>
      </c>
      <c r="C4" s="12" t="s">
        <v>23</v>
      </c>
      <c r="D4" s="13">
        <v>22000</v>
      </c>
      <c r="E4" s="12">
        <v>35</v>
      </c>
      <c r="F4" s="14" t="s">
        <v>30</v>
      </c>
      <c r="G4" s="15" t="s">
        <v>70</v>
      </c>
      <c r="H4" s="13">
        <v>51277</v>
      </c>
    </row>
    <row r="5" spans="1:8" ht="18" x14ac:dyDescent="0.35">
      <c r="A5" s="12">
        <v>1004</v>
      </c>
      <c r="B5" s="12" t="s">
        <v>31</v>
      </c>
      <c r="C5" s="12" t="s">
        <v>23</v>
      </c>
      <c r="D5" s="13">
        <v>22000</v>
      </c>
      <c r="E5" s="12">
        <v>42</v>
      </c>
      <c r="F5" s="14" t="s">
        <v>27</v>
      </c>
      <c r="G5" s="15" t="s">
        <v>28</v>
      </c>
      <c r="H5" s="13">
        <v>27730</v>
      </c>
    </row>
    <row r="6" spans="1:8" ht="18" x14ac:dyDescent="0.35">
      <c r="A6" s="12">
        <v>1005</v>
      </c>
      <c r="B6" s="12" t="s">
        <v>32</v>
      </c>
      <c r="C6" s="12" t="s">
        <v>23</v>
      </c>
      <c r="D6" s="13">
        <v>22000</v>
      </c>
      <c r="E6" s="12">
        <v>29</v>
      </c>
      <c r="F6" s="14" t="s">
        <v>24</v>
      </c>
      <c r="G6" s="15" t="s">
        <v>70</v>
      </c>
      <c r="H6" s="13">
        <v>63959</v>
      </c>
    </row>
    <row r="7" spans="1:8" ht="18" x14ac:dyDescent="0.35">
      <c r="A7" s="12">
        <v>1006</v>
      </c>
      <c r="B7" s="12" t="s">
        <v>29</v>
      </c>
      <c r="C7" s="12" t="s">
        <v>23</v>
      </c>
      <c r="D7" s="13">
        <v>22000</v>
      </c>
      <c r="E7" s="12">
        <v>34</v>
      </c>
      <c r="F7" s="14" t="s">
        <v>30</v>
      </c>
      <c r="G7" s="15" t="s">
        <v>28</v>
      </c>
      <c r="H7" s="13">
        <v>44031</v>
      </c>
    </row>
    <row r="8" spans="1:8" ht="18" x14ac:dyDescent="0.35">
      <c r="A8" s="12">
        <v>1007</v>
      </c>
      <c r="B8" s="12" t="s">
        <v>33</v>
      </c>
      <c r="C8" s="12" t="s">
        <v>23</v>
      </c>
      <c r="D8" s="13">
        <v>22000</v>
      </c>
      <c r="E8" s="12">
        <v>43</v>
      </c>
      <c r="F8" s="14" t="s">
        <v>34</v>
      </c>
      <c r="G8" s="15" t="s">
        <v>25</v>
      </c>
      <c r="H8" s="13">
        <v>25970</v>
      </c>
    </row>
    <row r="9" spans="1:8" ht="18" x14ac:dyDescent="0.35">
      <c r="A9" s="12">
        <v>1008</v>
      </c>
      <c r="B9" s="12" t="s">
        <v>35</v>
      </c>
      <c r="C9" s="12" t="s">
        <v>23</v>
      </c>
      <c r="D9" s="13">
        <v>22000</v>
      </c>
      <c r="E9" s="12">
        <v>38</v>
      </c>
      <c r="F9" s="14" t="s">
        <v>27</v>
      </c>
      <c r="G9" s="15" t="s">
        <v>28</v>
      </c>
      <c r="H9" s="13">
        <v>49470</v>
      </c>
    </row>
    <row r="10" spans="1:8" ht="18" x14ac:dyDescent="0.35">
      <c r="A10" s="12">
        <v>1009</v>
      </c>
      <c r="B10" s="12" t="s">
        <v>36</v>
      </c>
      <c r="C10" s="12" t="s">
        <v>23</v>
      </c>
      <c r="D10" s="13">
        <v>22000</v>
      </c>
      <c r="E10" s="12">
        <v>36</v>
      </c>
      <c r="F10" s="14" t="s">
        <v>30</v>
      </c>
      <c r="G10" s="15" t="s">
        <v>70</v>
      </c>
      <c r="H10" s="13">
        <v>51711</v>
      </c>
    </row>
    <row r="11" spans="1:8" ht="18" x14ac:dyDescent="0.35">
      <c r="A11" s="12">
        <v>1010</v>
      </c>
      <c r="B11" s="12" t="s">
        <v>37</v>
      </c>
      <c r="C11" s="12" t="s">
        <v>23</v>
      </c>
      <c r="D11" s="13">
        <v>22000</v>
      </c>
      <c r="E11" s="12">
        <v>43</v>
      </c>
      <c r="F11" s="14" t="s">
        <v>30</v>
      </c>
      <c r="G11" s="15" t="s">
        <v>28</v>
      </c>
      <c r="H11" s="13">
        <v>42369</v>
      </c>
    </row>
    <row r="12" spans="1:8" ht="18" x14ac:dyDescent="0.35">
      <c r="A12" s="12">
        <v>1011</v>
      </c>
      <c r="B12" s="12" t="s">
        <v>29</v>
      </c>
      <c r="C12" s="12" t="s">
        <v>23</v>
      </c>
      <c r="D12" s="13">
        <v>22000</v>
      </c>
      <c r="E12" s="12">
        <v>44</v>
      </c>
      <c r="F12" s="14" t="s">
        <v>27</v>
      </c>
      <c r="G12" s="15" t="s">
        <v>25</v>
      </c>
      <c r="H12" s="13">
        <v>55180</v>
      </c>
    </row>
    <row r="13" spans="1:8" ht="18" x14ac:dyDescent="0.35">
      <c r="A13" s="12">
        <v>1012</v>
      </c>
      <c r="B13" s="12" t="s">
        <v>38</v>
      </c>
      <c r="C13" s="12" t="s">
        <v>23</v>
      </c>
      <c r="D13" s="13">
        <v>22000</v>
      </c>
      <c r="E13" s="12">
        <v>36</v>
      </c>
      <c r="F13" s="14" t="str">
        <f t="shared" ref="F13" si="0">F12</f>
        <v>Uttar Pradesh</v>
      </c>
      <c r="G13" s="15" t="s">
        <v>28</v>
      </c>
      <c r="H13" s="13">
        <v>37354</v>
      </c>
    </row>
    <row r="14" spans="1:8" ht="18" x14ac:dyDescent="0.35">
      <c r="A14" s="12">
        <v>1013</v>
      </c>
      <c r="B14" s="12" t="s">
        <v>39</v>
      </c>
      <c r="C14" s="12" t="s">
        <v>23</v>
      </c>
      <c r="D14" s="13">
        <v>25000</v>
      </c>
      <c r="E14" s="12">
        <v>42</v>
      </c>
      <c r="F14" s="14" t="s">
        <v>30</v>
      </c>
      <c r="G14" s="15" t="s">
        <v>25</v>
      </c>
      <c r="H14" s="13">
        <v>61053</v>
      </c>
    </row>
    <row r="15" spans="1:8" ht="18" x14ac:dyDescent="0.35">
      <c r="A15" s="12">
        <v>1014</v>
      </c>
      <c r="B15" s="12" t="s">
        <v>40</v>
      </c>
      <c r="C15" s="12" t="s">
        <v>23</v>
      </c>
      <c r="D15" s="13">
        <v>25000</v>
      </c>
      <c r="E15" s="12">
        <v>44</v>
      </c>
      <c r="F15" s="14" t="s">
        <v>34</v>
      </c>
      <c r="G15" s="15" t="s">
        <v>28</v>
      </c>
      <c r="H15" s="13">
        <v>72145</v>
      </c>
    </row>
    <row r="16" spans="1:8" ht="18" x14ac:dyDescent="0.35">
      <c r="A16" s="12">
        <v>1015</v>
      </c>
      <c r="B16" s="12" t="s">
        <v>41</v>
      </c>
      <c r="C16" s="12" t="s">
        <v>23</v>
      </c>
      <c r="D16" s="13">
        <v>25000</v>
      </c>
      <c r="E16" s="12">
        <v>45</v>
      </c>
      <c r="F16" s="14" t="s">
        <v>27</v>
      </c>
      <c r="G16" s="15" t="s">
        <v>25</v>
      </c>
      <c r="H16" s="13">
        <v>33455</v>
      </c>
    </row>
    <row r="17" spans="1:8" ht="18" x14ac:dyDescent="0.35">
      <c r="A17" s="12">
        <v>1016</v>
      </c>
      <c r="B17" s="12" t="s">
        <v>42</v>
      </c>
      <c r="C17" s="12" t="s">
        <v>23</v>
      </c>
      <c r="D17" s="13">
        <v>25000</v>
      </c>
      <c r="E17" s="12">
        <v>38</v>
      </c>
      <c r="F17" s="14" t="s">
        <v>24</v>
      </c>
      <c r="G17" s="15" t="s">
        <v>28</v>
      </c>
      <c r="H17" s="13">
        <v>65618</v>
      </c>
    </row>
    <row r="18" spans="1:8" ht="18" x14ac:dyDescent="0.35">
      <c r="A18" s="12">
        <v>1017</v>
      </c>
      <c r="B18" s="12" t="s">
        <v>43</v>
      </c>
      <c r="C18" s="12" t="s">
        <v>23</v>
      </c>
      <c r="D18" s="13">
        <v>25000</v>
      </c>
      <c r="E18" s="12">
        <v>44</v>
      </c>
      <c r="F18" s="14" t="s">
        <v>27</v>
      </c>
      <c r="G18" s="15" t="s">
        <v>25</v>
      </c>
      <c r="H18" s="13">
        <v>34148</v>
      </c>
    </row>
    <row r="19" spans="1:8" ht="18" x14ac:dyDescent="0.35">
      <c r="A19" s="12">
        <v>1018</v>
      </c>
      <c r="B19" s="12" t="s">
        <v>44</v>
      </c>
      <c r="C19" s="12" t="s">
        <v>23</v>
      </c>
      <c r="D19" s="13">
        <v>25000</v>
      </c>
      <c r="E19" s="12">
        <v>25</v>
      </c>
      <c r="F19" s="14" t="s">
        <v>27</v>
      </c>
      <c r="G19" s="15" t="s">
        <v>28</v>
      </c>
      <c r="H19" s="13">
        <v>73666</v>
      </c>
    </row>
    <row r="20" spans="1:8" ht="18" x14ac:dyDescent="0.35">
      <c r="A20" s="12">
        <v>1019</v>
      </c>
      <c r="B20" s="12" t="s">
        <v>2</v>
      </c>
      <c r="C20" s="12" t="s">
        <v>23</v>
      </c>
      <c r="D20" s="13">
        <v>25000</v>
      </c>
      <c r="E20" s="12">
        <v>34</v>
      </c>
      <c r="F20" s="14" t="s">
        <v>34</v>
      </c>
      <c r="G20" s="15" t="s">
        <v>25</v>
      </c>
      <c r="H20" s="13">
        <v>61626</v>
      </c>
    </row>
    <row r="21" spans="1:8" ht="18" x14ac:dyDescent="0.35">
      <c r="A21" s="12">
        <v>1020</v>
      </c>
      <c r="B21" s="12" t="s">
        <v>45</v>
      </c>
      <c r="C21" s="12" t="s">
        <v>23</v>
      </c>
      <c r="D21" s="13">
        <v>25000</v>
      </c>
      <c r="E21" s="12">
        <v>35</v>
      </c>
      <c r="F21" s="14" t="s">
        <v>30</v>
      </c>
      <c r="G21" s="15" t="s">
        <v>28</v>
      </c>
      <c r="H21" s="13">
        <v>70094</v>
      </c>
    </row>
    <row r="22" spans="1:8" ht="18" x14ac:dyDescent="0.35">
      <c r="A22" s="12">
        <v>1021</v>
      </c>
      <c r="B22" s="12" t="s">
        <v>46</v>
      </c>
      <c r="C22" s="12" t="s">
        <v>23</v>
      </c>
      <c r="D22" s="13">
        <v>25000</v>
      </c>
      <c r="E22" s="12">
        <v>35</v>
      </c>
      <c r="F22" s="14" t="s">
        <v>30</v>
      </c>
      <c r="G22" s="15" t="s">
        <v>25</v>
      </c>
      <c r="H22" s="13">
        <v>43478</v>
      </c>
    </row>
    <row r="23" spans="1:8" ht="18" x14ac:dyDescent="0.35">
      <c r="A23" s="12">
        <v>1022</v>
      </c>
      <c r="B23" s="12" t="s">
        <v>47</v>
      </c>
      <c r="C23" s="12" t="s">
        <v>23</v>
      </c>
      <c r="D23" s="13">
        <v>25000</v>
      </c>
      <c r="E23" s="12">
        <v>39</v>
      </c>
      <c r="F23" s="14" t="s">
        <v>24</v>
      </c>
      <c r="G23" s="15" t="s">
        <v>48</v>
      </c>
      <c r="H23" s="13">
        <v>50982</v>
      </c>
    </row>
    <row r="24" spans="1:8" ht="18" x14ac:dyDescent="0.35">
      <c r="A24" s="12">
        <v>1023</v>
      </c>
      <c r="B24" s="12" t="s">
        <v>49</v>
      </c>
      <c r="C24" s="12" t="s">
        <v>23</v>
      </c>
      <c r="D24" s="13">
        <v>25000</v>
      </c>
      <c r="E24" s="12">
        <v>33</v>
      </c>
      <c r="F24" s="14" t="s">
        <v>24</v>
      </c>
      <c r="G24" s="15" t="s">
        <v>48</v>
      </c>
      <c r="H24" s="13">
        <v>69989</v>
      </c>
    </row>
    <row r="25" spans="1:8" ht="18" x14ac:dyDescent="0.35">
      <c r="A25" s="12">
        <v>1024</v>
      </c>
      <c r="B25" s="12" t="s">
        <v>50</v>
      </c>
      <c r="C25" s="12" t="s">
        <v>23</v>
      </c>
      <c r="D25" s="13">
        <v>25000</v>
      </c>
      <c r="E25" s="12">
        <v>29</v>
      </c>
      <c r="F25" s="14" t="s">
        <v>30</v>
      </c>
      <c r="G25" s="15" t="s">
        <v>48</v>
      </c>
      <c r="H25" s="13">
        <v>28429</v>
      </c>
    </row>
    <row r="26" spans="1:8" ht="18" x14ac:dyDescent="0.35">
      <c r="A26" s="12">
        <v>1025</v>
      </c>
      <c r="B26" s="12" t="s">
        <v>51</v>
      </c>
      <c r="C26" s="12" t="s">
        <v>23</v>
      </c>
      <c r="D26" s="13">
        <v>25000</v>
      </c>
      <c r="E26" s="12">
        <v>27</v>
      </c>
      <c r="F26" s="14" t="s">
        <v>27</v>
      </c>
      <c r="G26" s="15" t="s">
        <v>28</v>
      </c>
      <c r="H26" s="13">
        <v>55307</v>
      </c>
    </row>
    <row r="27" spans="1:8" ht="18" x14ac:dyDescent="0.35">
      <c r="A27" s="12">
        <v>1026</v>
      </c>
      <c r="B27" s="12" t="s">
        <v>52</v>
      </c>
      <c r="C27" s="12" t="s">
        <v>23</v>
      </c>
      <c r="D27" s="13">
        <v>25000</v>
      </c>
      <c r="E27" s="12">
        <v>34</v>
      </c>
      <c r="F27" s="14" t="s">
        <v>24</v>
      </c>
      <c r="G27" s="15" t="s">
        <v>25</v>
      </c>
      <c r="H27" s="13">
        <v>47177</v>
      </c>
    </row>
    <row r="28" spans="1:8" ht="18" x14ac:dyDescent="0.35">
      <c r="A28" s="12">
        <v>1027</v>
      </c>
      <c r="B28" s="12" t="s">
        <v>53</v>
      </c>
      <c r="C28" s="12" t="s">
        <v>23</v>
      </c>
      <c r="D28" s="13">
        <v>25000</v>
      </c>
      <c r="E28" s="12">
        <v>27</v>
      </c>
      <c r="F28" s="14" t="s">
        <v>30</v>
      </c>
      <c r="G28" s="15" t="s">
        <v>28</v>
      </c>
      <c r="H28" s="13">
        <v>61590</v>
      </c>
    </row>
    <row r="29" spans="1:8" ht="18" x14ac:dyDescent="0.35">
      <c r="A29" s="12">
        <v>1028</v>
      </c>
      <c r="B29" s="12" t="s">
        <v>54</v>
      </c>
      <c r="C29" s="12" t="s">
        <v>23</v>
      </c>
      <c r="D29" s="13">
        <v>25000</v>
      </c>
      <c r="E29" s="12">
        <v>31</v>
      </c>
      <c r="F29" s="14" t="s">
        <v>27</v>
      </c>
      <c r="G29" s="15" t="s">
        <v>25</v>
      </c>
      <c r="H29" s="13">
        <v>48986</v>
      </c>
    </row>
    <row r="30" spans="1:8" ht="18" x14ac:dyDescent="0.35">
      <c r="A30" s="12">
        <v>1029</v>
      </c>
      <c r="B30" s="12" t="s">
        <v>55</v>
      </c>
      <c r="C30" s="12" t="s">
        <v>23</v>
      </c>
      <c r="D30" s="13">
        <v>25000</v>
      </c>
      <c r="E30" s="12">
        <v>39</v>
      </c>
      <c r="F30" s="14" t="s">
        <v>27</v>
      </c>
      <c r="G30" s="15" t="s">
        <v>28</v>
      </c>
      <c r="H30" s="13">
        <v>44395</v>
      </c>
    </row>
    <row r="31" spans="1:8" ht="18" x14ac:dyDescent="0.35">
      <c r="A31" s="12">
        <v>1030</v>
      </c>
      <c r="B31" s="12" t="s">
        <v>56</v>
      </c>
      <c r="C31" s="12" t="s">
        <v>23</v>
      </c>
      <c r="D31" s="13">
        <v>25000</v>
      </c>
      <c r="E31" s="12">
        <v>33</v>
      </c>
      <c r="F31" s="14" t="s">
        <v>24</v>
      </c>
      <c r="G31" s="15" t="s">
        <v>25</v>
      </c>
      <c r="H31" s="13">
        <v>39333</v>
      </c>
    </row>
    <row r="32" spans="1:8" ht="18" x14ac:dyDescent="0.35">
      <c r="A32" s="12">
        <v>1031</v>
      </c>
      <c r="B32" s="12" t="s">
        <v>57</v>
      </c>
      <c r="C32" s="12" t="s">
        <v>23</v>
      </c>
      <c r="D32" s="13">
        <v>25000</v>
      </c>
      <c r="E32" s="12">
        <v>41</v>
      </c>
      <c r="F32" s="14" t="s">
        <v>30</v>
      </c>
      <c r="G32" s="15" t="s">
        <v>48</v>
      </c>
      <c r="H32" s="13">
        <v>34001</v>
      </c>
    </row>
    <row r="33" spans="1:8" ht="18" x14ac:dyDescent="0.35">
      <c r="A33" s="12">
        <v>1032</v>
      </c>
      <c r="B33" s="12" t="s">
        <v>58</v>
      </c>
      <c r="C33" s="12" t="s">
        <v>23</v>
      </c>
      <c r="D33" s="13">
        <v>25000</v>
      </c>
      <c r="E33" s="12">
        <v>41</v>
      </c>
      <c r="F33" s="14" t="s">
        <v>34</v>
      </c>
      <c r="G33" s="15" t="s">
        <v>48</v>
      </c>
      <c r="H33" s="13">
        <v>59856</v>
      </c>
    </row>
    <row r="34" spans="1:8" ht="18" x14ac:dyDescent="0.35">
      <c r="A34" s="12">
        <v>1033</v>
      </c>
      <c r="B34" s="12" t="s">
        <v>59</v>
      </c>
      <c r="C34" s="12" t="s">
        <v>23</v>
      </c>
      <c r="D34" s="13">
        <v>25000</v>
      </c>
      <c r="E34" s="12">
        <v>39</v>
      </c>
      <c r="F34" s="14" t="s">
        <v>24</v>
      </c>
      <c r="G34" s="15" t="s">
        <v>48</v>
      </c>
      <c r="H34" s="13">
        <v>43598</v>
      </c>
    </row>
    <row r="35" spans="1:8" ht="18" x14ac:dyDescent="0.35">
      <c r="A35" s="12">
        <v>1034</v>
      </c>
      <c r="B35" s="12" t="s">
        <v>60</v>
      </c>
      <c r="C35" s="12" t="s">
        <v>23</v>
      </c>
      <c r="D35" s="13">
        <v>25000</v>
      </c>
      <c r="E35" s="12">
        <v>29</v>
      </c>
      <c r="F35" s="14" t="s">
        <v>34</v>
      </c>
      <c r="G35" s="15" t="s">
        <v>28</v>
      </c>
      <c r="H35" s="13">
        <v>48031</v>
      </c>
    </row>
    <row r="36" spans="1:8" ht="18" x14ac:dyDescent="0.35">
      <c r="A36" s="12">
        <v>1035</v>
      </c>
      <c r="B36" s="12" t="s">
        <v>61</v>
      </c>
      <c r="C36" s="12" t="s">
        <v>23</v>
      </c>
      <c r="D36" s="13">
        <v>25000</v>
      </c>
      <c r="E36" s="12">
        <v>45</v>
      </c>
      <c r="F36" s="14" t="s">
        <v>30</v>
      </c>
      <c r="G36" s="15" t="s">
        <v>25</v>
      </c>
      <c r="H36" s="13">
        <v>36018</v>
      </c>
    </row>
    <row r="37" spans="1:8" ht="18" x14ac:dyDescent="0.35">
      <c r="A37" s="12">
        <v>1036</v>
      </c>
      <c r="B37" s="12" t="s">
        <v>62</v>
      </c>
      <c r="C37" s="12" t="s">
        <v>23</v>
      </c>
      <c r="D37" s="13">
        <v>25000</v>
      </c>
      <c r="E37" s="12">
        <v>36</v>
      </c>
      <c r="F37" s="14" t="s">
        <v>24</v>
      </c>
      <c r="G37" s="15" t="s">
        <v>28</v>
      </c>
      <c r="H37" s="13">
        <v>63335</v>
      </c>
    </row>
    <row r="38" spans="1:8" ht="18" x14ac:dyDescent="0.35">
      <c r="A38" s="12">
        <v>1037</v>
      </c>
      <c r="B38" s="12" t="s">
        <v>63</v>
      </c>
      <c r="C38" s="12" t="s">
        <v>23</v>
      </c>
      <c r="D38" s="13">
        <v>25000</v>
      </c>
      <c r="E38" s="12">
        <v>31</v>
      </c>
      <c r="F38" s="14" t="s">
        <v>34</v>
      </c>
      <c r="G38" s="15" t="s">
        <v>25</v>
      </c>
      <c r="H38" s="13">
        <v>42230</v>
      </c>
    </row>
    <row r="39" spans="1:8" ht="18" x14ac:dyDescent="0.35">
      <c r="A39" s="12">
        <v>1038</v>
      </c>
      <c r="B39" s="12" t="s">
        <v>64</v>
      </c>
      <c r="C39" s="12" t="s">
        <v>23</v>
      </c>
      <c r="D39" s="13">
        <v>25000</v>
      </c>
      <c r="E39" s="12">
        <v>26</v>
      </c>
      <c r="F39" s="14" t="s">
        <v>24</v>
      </c>
      <c r="G39" s="15" t="s">
        <v>28</v>
      </c>
      <c r="H39" s="13">
        <v>35567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C004-C1C9-4D8A-B8DD-F16F56BA3C62}">
  <dimension ref="A1:H13"/>
  <sheetViews>
    <sheetView tabSelected="1" workbookViewId="0">
      <selection activeCell="E11" sqref="E11"/>
    </sheetView>
  </sheetViews>
  <sheetFormatPr defaultRowHeight="14.4" x14ac:dyDescent="0.3"/>
  <cols>
    <col min="1" max="1" width="9.109375" customWidth="1"/>
    <col min="3" max="3" width="12.77734375" customWidth="1"/>
    <col min="4" max="4" width="10.6640625" customWidth="1"/>
    <col min="6" max="6" width="14.77734375" customWidth="1"/>
    <col min="7" max="7" width="20.5546875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>
        <v>1037</v>
      </c>
      <c r="B2" t="s">
        <v>63</v>
      </c>
      <c r="C2" t="s">
        <v>23</v>
      </c>
      <c r="D2">
        <v>25000</v>
      </c>
      <c r="E2">
        <v>31</v>
      </c>
      <c r="F2" t="s">
        <v>34</v>
      </c>
      <c r="G2" t="s">
        <v>25</v>
      </c>
      <c r="H2">
        <v>42230</v>
      </c>
    </row>
    <row r="3" spans="1:8" x14ac:dyDescent="0.3">
      <c r="A3">
        <v>1035</v>
      </c>
      <c r="B3" t="s">
        <v>61</v>
      </c>
      <c r="C3" t="s">
        <v>23</v>
      </c>
      <c r="D3">
        <v>25000</v>
      </c>
      <c r="E3">
        <v>45</v>
      </c>
      <c r="F3" t="s">
        <v>30</v>
      </c>
      <c r="G3" t="s">
        <v>25</v>
      </c>
      <c r="H3">
        <v>36018</v>
      </c>
    </row>
    <row r="4" spans="1:8" x14ac:dyDescent="0.3">
      <c r="A4">
        <v>1030</v>
      </c>
      <c r="B4" t="s">
        <v>56</v>
      </c>
      <c r="C4" t="s">
        <v>23</v>
      </c>
      <c r="D4">
        <v>25000</v>
      </c>
      <c r="E4">
        <v>33</v>
      </c>
      <c r="F4" t="s">
        <v>24</v>
      </c>
      <c r="G4" t="s">
        <v>25</v>
      </c>
      <c r="H4">
        <v>39333</v>
      </c>
    </row>
    <row r="5" spans="1:8" x14ac:dyDescent="0.3">
      <c r="A5">
        <v>1028</v>
      </c>
      <c r="B5" t="s">
        <v>54</v>
      </c>
      <c r="C5" t="s">
        <v>23</v>
      </c>
      <c r="D5">
        <v>25000</v>
      </c>
      <c r="E5">
        <v>31</v>
      </c>
      <c r="F5" t="s">
        <v>27</v>
      </c>
      <c r="G5" t="s">
        <v>25</v>
      </c>
      <c r="H5">
        <v>48986</v>
      </c>
    </row>
    <row r="6" spans="1:8" x14ac:dyDescent="0.3">
      <c r="A6">
        <v>1026</v>
      </c>
      <c r="B6" t="s">
        <v>52</v>
      </c>
      <c r="C6" t="s">
        <v>23</v>
      </c>
      <c r="D6">
        <v>25000</v>
      </c>
      <c r="E6">
        <v>34</v>
      </c>
      <c r="F6" t="s">
        <v>24</v>
      </c>
      <c r="G6" t="s">
        <v>25</v>
      </c>
      <c r="H6">
        <v>47177</v>
      </c>
    </row>
    <row r="7" spans="1:8" x14ac:dyDescent="0.3">
      <c r="A7">
        <v>1021</v>
      </c>
      <c r="B7" t="s">
        <v>46</v>
      </c>
      <c r="C7" t="s">
        <v>23</v>
      </c>
      <c r="D7">
        <v>25000</v>
      </c>
      <c r="E7">
        <v>35</v>
      </c>
      <c r="F7" t="s">
        <v>30</v>
      </c>
      <c r="G7" t="s">
        <v>25</v>
      </c>
      <c r="H7">
        <v>43478</v>
      </c>
    </row>
    <row r="8" spans="1:8" x14ac:dyDescent="0.3">
      <c r="A8">
        <v>1007</v>
      </c>
      <c r="B8" t="s">
        <v>33</v>
      </c>
      <c r="C8" t="s">
        <v>23</v>
      </c>
      <c r="D8">
        <v>22000</v>
      </c>
      <c r="E8">
        <v>43</v>
      </c>
      <c r="F8" t="s">
        <v>34</v>
      </c>
      <c r="G8" t="s">
        <v>25</v>
      </c>
      <c r="H8">
        <v>25970</v>
      </c>
    </row>
    <row r="9" spans="1:8" x14ac:dyDescent="0.3">
      <c r="A9">
        <v>1019</v>
      </c>
      <c r="B9" t="s">
        <v>2</v>
      </c>
      <c r="C9" t="s">
        <v>23</v>
      </c>
      <c r="D9">
        <v>25000</v>
      </c>
      <c r="E9">
        <v>34</v>
      </c>
      <c r="F9" t="s">
        <v>34</v>
      </c>
      <c r="G9" t="s">
        <v>25</v>
      </c>
      <c r="H9">
        <v>61626</v>
      </c>
    </row>
    <row r="10" spans="1:8" x14ac:dyDescent="0.3">
      <c r="A10">
        <v>1017</v>
      </c>
      <c r="B10" t="s">
        <v>43</v>
      </c>
      <c r="C10" t="s">
        <v>23</v>
      </c>
      <c r="D10">
        <v>25000</v>
      </c>
      <c r="E10">
        <v>44</v>
      </c>
      <c r="F10" t="s">
        <v>27</v>
      </c>
      <c r="G10" t="s">
        <v>25</v>
      </c>
      <c r="H10">
        <v>34148</v>
      </c>
    </row>
    <row r="11" spans="1:8" x14ac:dyDescent="0.3">
      <c r="A11">
        <v>1015</v>
      </c>
      <c r="B11" t="s">
        <v>41</v>
      </c>
      <c r="C11" t="s">
        <v>23</v>
      </c>
      <c r="D11">
        <v>25000</v>
      </c>
      <c r="E11">
        <v>45</v>
      </c>
      <c r="F11" t="s">
        <v>27</v>
      </c>
      <c r="G11" t="s">
        <v>25</v>
      </c>
      <c r="H11">
        <v>33455</v>
      </c>
    </row>
    <row r="12" spans="1:8" x14ac:dyDescent="0.3">
      <c r="A12">
        <v>1011</v>
      </c>
      <c r="B12" t="s">
        <v>29</v>
      </c>
      <c r="C12" t="s">
        <v>23</v>
      </c>
      <c r="D12">
        <v>22000</v>
      </c>
      <c r="E12">
        <v>44</v>
      </c>
      <c r="F12" t="s">
        <v>27</v>
      </c>
      <c r="G12" t="s">
        <v>25</v>
      </c>
      <c r="H12">
        <v>55180</v>
      </c>
    </row>
    <row r="13" spans="1:8" x14ac:dyDescent="0.3">
      <c r="A13">
        <v>1013</v>
      </c>
      <c r="B13" t="s">
        <v>39</v>
      </c>
      <c r="C13" t="s">
        <v>23</v>
      </c>
      <c r="D13">
        <v>25000</v>
      </c>
      <c r="E13">
        <v>42</v>
      </c>
      <c r="F13" t="s">
        <v>30</v>
      </c>
      <c r="G13" t="s">
        <v>25</v>
      </c>
      <c r="H13">
        <v>61053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1F65-18B3-480A-A4E2-F0CF350B023B}">
  <dimension ref="A1:H5"/>
  <sheetViews>
    <sheetView workbookViewId="0">
      <selection sqref="A1:H5"/>
    </sheetView>
  </sheetViews>
  <sheetFormatPr defaultRowHeight="14.4" x14ac:dyDescent="0.3"/>
  <cols>
    <col min="1" max="1" width="9.109375" customWidth="1"/>
    <col min="3" max="3" width="12.77734375" customWidth="1"/>
    <col min="4" max="4" width="10.6640625" customWidth="1"/>
    <col min="6" max="6" width="14.77734375" customWidth="1"/>
    <col min="7" max="7" width="20.5546875" customWidth="1"/>
  </cols>
  <sheetData>
    <row r="1" spans="1: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>
        <v>1001</v>
      </c>
      <c r="B2" t="s">
        <v>22</v>
      </c>
      <c r="C2" t="s">
        <v>23</v>
      </c>
      <c r="D2">
        <v>22000</v>
      </c>
      <c r="E2">
        <v>36</v>
      </c>
      <c r="F2" t="s">
        <v>24</v>
      </c>
      <c r="G2" t="s">
        <v>70</v>
      </c>
      <c r="H2">
        <v>29868</v>
      </c>
    </row>
    <row r="3" spans="1:8" x14ac:dyDescent="0.3">
      <c r="A3">
        <v>1009</v>
      </c>
      <c r="B3" t="s">
        <v>36</v>
      </c>
      <c r="C3" t="s">
        <v>23</v>
      </c>
      <c r="D3">
        <v>22000</v>
      </c>
      <c r="E3">
        <v>36</v>
      </c>
      <c r="F3" t="s">
        <v>30</v>
      </c>
      <c r="G3" t="s">
        <v>70</v>
      </c>
      <c r="H3">
        <v>51711</v>
      </c>
    </row>
    <row r="4" spans="1:8" x14ac:dyDescent="0.3">
      <c r="A4">
        <v>1003</v>
      </c>
      <c r="B4" t="s">
        <v>29</v>
      </c>
      <c r="C4" t="s">
        <v>23</v>
      </c>
      <c r="D4">
        <v>22000</v>
      </c>
      <c r="E4">
        <v>35</v>
      </c>
      <c r="F4" t="s">
        <v>30</v>
      </c>
      <c r="G4" t="s">
        <v>70</v>
      </c>
      <c r="H4">
        <v>51277</v>
      </c>
    </row>
    <row r="5" spans="1:8" x14ac:dyDescent="0.3">
      <c r="A5">
        <v>1005</v>
      </c>
      <c r="B5" t="s">
        <v>32</v>
      </c>
      <c r="C5" t="s">
        <v>23</v>
      </c>
      <c r="D5">
        <v>22000</v>
      </c>
      <c r="E5">
        <v>29</v>
      </c>
      <c r="F5" t="s">
        <v>24</v>
      </c>
      <c r="G5" t="s">
        <v>70</v>
      </c>
      <c r="H5">
        <v>63959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8572-52EC-4523-B411-809A1A67FB6F}">
  <dimension ref="A3:B8"/>
  <sheetViews>
    <sheetView zoomScale="160" zoomScaleNormal="160" workbookViewId="0">
      <selection activeCell="A2" sqref="A2:B9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6.77734375" bestFit="1" customWidth="1"/>
    <col min="4" max="4" width="9.33203125" bestFit="1" customWidth="1"/>
    <col min="5" max="5" width="5.88671875" bestFit="1" customWidth="1"/>
    <col min="6" max="6" width="7.88671875" bestFit="1" customWidth="1"/>
    <col min="7" max="7" width="6.44140625" bestFit="1" customWidth="1"/>
    <col min="8" max="8" width="9.5546875" bestFit="1" customWidth="1"/>
    <col min="9" max="9" width="7.5546875" bestFit="1" customWidth="1"/>
    <col min="10" max="10" width="6" bestFit="1" customWidth="1"/>
    <col min="11" max="11" width="5.77734375" bestFit="1" customWidth="1"/>
    <col min="12" max="12" width="3.109375" bestFit="1" customWidth="1"/>
    <col min="13" max="13" width="4.88671875" bestFit="1" customWidth="1"/>
    <col min="14" max="14" width="10.33203125" bestFit="1" customWidth="1"/>
    <col min="15" max="15" width="4.88671875" bestFit="1" customWidth="1"/>
    <col min="16" max="16" width="7.77734375" bestFit="1" customWidth="1"/>
    <col min="17" max="17" width="6.109375" bestFit="1" customWidth="1"/>
    <col min="18" max="18" width="7.6640625" bestFit="1" customWidth="1"/>
    <col min="19" max="19" width="7.77734375" bestFit="1" customWidth="1"/>
    <col min="20" max="20" width="5.88671875" bestFit="1" customWidth="1"/>
    <col min="21" max="21" width="6.33203125" bestFit="1" customWidth="1"/>
    <col min="22" max="22" width="6.5546875" bestFit="1" customWidth="1"/>
    <col min="23" max="23" width="8.77734375" bestFit="1" customWidth="1"/>
    <col min="24" max="24" width="5" bestFit="1" customWidth="1"/>
    <col min="25" max="25" width="5.77734375" bestFit="1" customWidth="1"/>
    <col min="26" max="26" width="6.5546875" bestFit="1" customWidth="1"/>
    <col min="27" max="27" width="5.109375" bestFit="1" customWidth="1"/>
    <col min="28" max="28" width="4.77734375" bestFit="1" customWidth="1"/>
    <col min="29" max="29" width="7.33203125" bestFit="1" customWidth="1"/>
    <col min="30" max="30" width="7.44140625" bestFit="1" customWidth="1"/>
    <col min="31" max="31" width="6.109375" bestFit="1" customWidth="1"/>
    <col min="32" max="32" width="6.44140625" bestFit="1" customWidth="1"/>
    <col min="33" max="33" width="6.33203125" bestFit="1" customWidth="1"/>
    <col min="34" max="34" width="6.109375" bestFit="1" customWidth="1"/>
    <col min="35" max="35" width="5.33203125" bestFit="1" customWidth="1"/>
    <col min="36" max="36" width="7.77734375" bestFit="1" customWidth="1"/>
    <col min="37" max="37" width="6.6640625" bestFit="1" customWidth="1"/>
    <col min="38" max="38" width="10.77734375" bestFit="1" customWidth="1"/>
  </cols>
  <sheetData>
    <row r="3" spans="1:2" x14ac:dyDescent="0.3">
      <c r="A3" s="21" t="s">
        <v>67</v>
      </c>
      <c r="B3" t="s">
        <v>80</v>
      </c>
    </row>
    <row r="4" spans="1:2" x14ac:dyDescent="0.3">
      <c r="A4" s="22" t="s">
        <v>48</v>
      </c>
      <c r="B4" s="8">
        <v>6</v>
      </c>
    </row>
    <row r="5" spans="1:2" x14ac:dyDescent="0.3">
      <c r="A5" s="22" t="s">
        <v>28</v>
      </c>
      <c r="B5" s="8">
        <v>16</v>
      </c>
    </row>
    <row r="6" spans="1:2" x14ac:dyDescent="0.3">
      <c r="A6" s="22" t="s">
        <v>25</v>
      </c>
      <c r="B6" s="8">
        <v>12</v>
      </c>
    </row>
    <row r="7" spans="1:2" x14ac:dyDescent="0.3">
      <c r="A7" s="22" t="s">
        <v>70</v>
      </c>
      <c r="B7" s="8">
        <v>4</v>
      </c>
    </row>
    <row r="8" spans="1:2" x14ac:dyDescent="0.3">
      <c r="A8" s="22" t="s">
        <v>68</v>
      </c>
      <c r="B8" s="8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E10A-A8A1-4488-8154-A935E46F9736}">
  <dimension ref="A1:C45"/>
  <sheetViews>
    <sheetView workbookViewId="0">
      <selection activeCell="C7" sqref="C7"/>
    </sheetView>
  </sheetViews>
  <sheetFormatPr defaultRowHeight="14.4" x14ac:dyDescent="0.3"/>
  <cols>
    <col min="1" max="1" width="15.6640625" bestFit="1" customWidth="1"/>
    <col min="2" max="2" width="7.88671875" bestFit="1" customWidth="1"/>
    <col min="3" max="3" width="30.21875" bestFit="1" customWidth="1"/>
  </cols>
  <sheetData>
    <row r="1" spans="1:3" x14ac:dyDescent="0.3">
      <c r="A1" t="s">
        <v>81</v>
      </c>
      <c r="B1" t="s">
        <v>82</v>
      </c>
      <c r="C1" t="s">
        <v>83</v>
      </c>
    </row>
    <row r="2" spans="1:3" x14ac:dyDescent="0.3">
      <c r="A2" s="25">
        <v>45972.484965277778</v>
      </c>
      <c r="B2" t="s">
        <v>84</v>
      </c>
      <c r="C2" t="s">
        <v>85</v>
      </c>
    </row>
    <row r="3" spans="1:3" x14ac:dyDescent="0.3">
      <c r="A3" s="25">
        <v>45972.488541666666</v>
      </c>
      <c r="B3" t="s">
        <v>84</v>
      </c>
      <c r="C3" t="s">
        <v>86</v>
      </c>
    </row>
    <row r="4" spans="1:3" x14ac:dyDescent="0.3">
      <c r="A4" s="25">
        <v>45972.490393518521</v>
      </c>
      <c r="B4" t="s">
        <v>87</v>
      </c>
      <c r="C4" t="s">
        <v>88</v>
      </c>
    </row>
    <row r="5" spans="1:3" x14ac:dyDescent="0.3">
      <c r="A5" s="25">
        <v>45972.490486111114</v>
      </c>
      <c r="B5" t="s">
        <v>89</v>
      </c>
      <c r="C5" t="s">
        <v>90</v>
      </c>
    </row>
    <row r="6" spans="1:3" x14ac:dyDescent="0.3">
      <c r="A6" s="25">
        <v>45972.490636574075</v>
      </c>
      <c r="B6" t="s">
        <v>91</v>
      </c>
      <c r="C6" t="s">
        <v>92</v>
      </c>
    </row>
    <row r="7" spans="1:3" x14ac:dyDescent="0.3">
      <c r="A7" s="25">
        <v>45972.490925925929</v>
      </c>
      <c r="B7" t="s">
        <v>91</v>
      </c>
      <c r="C7" t="s">
        <v>93</v>
      </c>
    </row>
    <row r="8" spans="1:3" x14ac:dyDescent="0.3">
      <c r="A8" s="25">
        <v>45972.49255787037</v>
      </c>
      <c r="B8" t="s">
        <v>84</v>
      </c>
      <c r="C8" t="s">
        <v>94</v>
      </c>
    </row>
    <row r="9" spans="1:3" x14ac:dyDescent="0.3">
      <c r="A9" s="25">
        <v>45972.492662037039</v>
      </c>
      <c r="B9" t="s">
        <v>95</v>
      </c>
      <c r="C9" t="s">
        <v>96</v>
      </c>
    </row>
    <row r="10" spans="1:3" x14ac:dyDescent="0.3">
      <c r="A10" s="25">
        <v>45972.492754629631</v>
      </c>
      <c r="B10" t="s">
        <v>91</v>
      </c>
      <c r="C10" t="s">
        <v>97</v>
      </c>
    </row>
    <row r="11" spans="1:3" x14ac:dyDescent="0.3">
      <c r="A11" s="25">
        <v>45972.493217592593</v>
      </c>
      <c r="B11" t="s">
        <v>91</v>
      </c>
      <c r="C11" t="s">
        <v>98</v>
      </c>
    </row>
    <row r="12" spans="1:3" x14ac:dyDescent="0.3">
      <c r="A12" s="25">
        <v>45972.493287037039</v>
      </c>
      <c r="B12" t="s">
        <v>91</v>
      </c>
      <c r="C12" t="s">
        <v>99</v>
      </c>
    </row>
    <row r="13" spans="1:3" x14ac:dyDescent="0.3">
      <c r="A13" s="25">
        <v>45972.493321759262</v>
      </c>
      <c r="B13" t="s">
        <v>91</v>
      </c>
      <c r="C13" t="s">
        <v>100</v>
      </c>
    </row>
    <row r="14" spans="1:3" x14ac:dyDescent="0.3">
      <c r="A14" s="25">
        <v>45972.493379629632</v>
      </c>
      <c r="B14" t="s">
        <v>89</v>
      </c>
      <c r="C14" t="s">
        <v>101</v>
      </c>
    </row>
    <row r="15" spans="1:3" x14ac:dyDescent="0.3">
      <c r="A15" s="25">
        <v>45972.493495370371</v>
      </c>
      <c r="B15" t="s">
        <v>84</v>
      </c>
      <c r="C15" t="s">
        <v>102</v>
      </c>
    </row>
    <row r="16" spans="1:3" x14ac:dyDescent="0.3">
      <c r="A16" s="25">
        <v>45972.493796296294</v>
      </c>
      <c r="B16" t="s">
        <v>84</v>
      </c>
      <c r="C16" t="s">
        <v>103</v>
      </c>
    </row>
    <row r="17" spans="1:3" x14ac:dyDescent="0.3">
      <c r="A17" s="25">
        <v>45972.493842592594</v>
      </c>
      <c r="B17" t="s">
        <v>87</v>
      </c>
      <c r="C17" t="s">
        <v>104</v>
      </c>
    </row>
    <row r="18" spans="1:3" x14ac:dyDescent="0.3">
      <c r="A18" s="25">
        <v>45972.49391203704</v>
      </c>
      <c r="B18" t="s">
        <v>91</v>
      </c>
      <c r="C18" t="s">
        <v>105</v>
      </c>
    </row>
    <row r="19" spans="1:3" x14ac:dyDescent="0.3">
      <c r="A19" s="25">
        <v>45972.494108796294</v>
      </c>
      <c r="B19" t="s">
        <v>84</v>
      </c>
      <c r="C19" t="s">
        <v>106</v>
      </c>
    </row>
    <row r="20" spans="1:3" x14ac:dyDescent="0.3">
      <c r="A20" s="25">
        <v>45972.494143518517</v>
      </c>
      <c r="B20" t="s">
        <v>84</v>
      </c>
      <c r="C20" t="s">
        <v>107</v>
      </c>
    </row>
    <row r="21" spans="1:3" x14ac:dyDescent="0.3">
      <c r="A21" s="25">
        <v>45972.49417824074</v>
      </c>
      <c r="B21" t="s">
        <v>84</v>
      </c>
      <c r="C21" t="s">
        <v>108</v>
      </c>
    </row>
    <row r="22" spans="1:3" x14ac:dyDescent="0.3">
      <c r="A22" s="25">
        <v>45972.494293981479</v>
      </c>
      <c r="B22" t="s">
        <v>91</v>
      </c>
      <c r="C22" t="s">
        <v>109</v>
      </c>
    </row>
    <row r="23" spans="1:3" x14ac:dyDescent="0.3">
      <c r="A23" s="25">
        <v>45972.49454861111</v>
      </c>
      <c r="B23" t="s">
        <v>87</v>
      </c>
      <c r="C23" t="s">
        <v>110</v>
      </c>
    </row>
    <row r="24" spans="1:3" x14ac:dyDescent="0.3">
      <c r="A24" s="25">
        <v>45972.495381944442</v>
      </c>
      <c r="B24" t="s">
        <v>95</v>
      </c>
      <c r="C24" t="s">
        <v>111</v>
      </c>
    </row>
    <row r="25" spans="1:3" x14ac:dyDescent="0.3">
      <c r="A25" s="25">
        <v>45972.495474537034</v>
      </c>
      <c r="B25" t="s">
        <v>91</v>
      </c>
      <c r="C25" t="s">
        <v>112</v>
      </c>
    </row>
    <row r="26" spans="1:3" x14ac:dyDescent="0.3">
      <c r="A26" s="25">
        <v>45972.495995370373</v>
      </c>
      <c r="B26" t="s">
        <v>89</v>
      </c>
      <c r="C26" t="s">
        <v>113</v>
      </c>
    </row>
    <row r="27" spans="1:3" x14ac:dyDescent="0.3">
      <c r="A27" s="25">
        <v>45972.496006944442</v>
      </c>
      <c r="B27" t="s">
        <v>89</v>
      </c>
      <c r="C27" t="s">
        <v>114</v>
      </c>
    </row>
    <row r="28" spans="1:3" x14ac:dyDescent="0.3">
      <c r="A28" s="25">
        <v>45972.496111111112</v>
      </c>
      <c r="B28" t="s">
        <v>115</v>
      </c>
      <c r="C28" t="s">
        <v>116</v>
      </c>
    </row>
    <row r="29" spans="1:3" x14ac:dyDescent="0.3">
      <c r="A29" s="25">
        <v>45972.496342592596</v>
      </c>
      <c r="B29" t="s">
        <v>91</v>
      </c>
      <c r="C29" t="s">
        <v>117</v>
      </c>
    </row>
    <row r="30" spans="1:3" x14ac:dyDescent="0.3">
      <c r="A30" s="25">
        <v>45972.496967592589</v>
      </c>
      <c r="B30" t="s">
        <v>89</v>
      </c>
      <c r="C30" t="s">
        <v>118</v>
      </c>
    </row>
    <row r="31" spans="1:3" x14ac:dyDescent="0.3">
      <c r="A31" s="25">
        <v>45972.49728009259</v>
      </c>
      <c r="B31" t="s">
        <v>91</v>
      </c>
      <c r="C31" t="s">
        <v>119</v>
      </c>
    </row>
    <row r="32" spans="1:3" x14ac:dyDescent="0.3">
      <c r="A32" s="25">
        <v>45972.497395833336</v>
      </c>
      <c r="B32" t="s">
        <v>120</v>
      </c>
      <c r="C32" t="s">
        <v>121</v>
      </c>
    </row>
    <row r="33" spans="1:3" x14ac:dyDescent="0.3">
      <c r="A33" s="25">
        <v>45972.49759259259</v>
      </c>
      <c r="B33" t="s">
        <v>91</v>
      </c>
      <c r="C33" t="s">
        <v>122</v>
      </c>
    </row>
    <row r="34" spans="1:3" x14ac:dyDescent="0.3">
      <c r="A34" s="25">
        <v>45972.497777777775</v>
      </c>
      <c r="B34" t="s">
        <v>84</v>
      </c>
      <c r="C34" t="s">
        <v>123</v>
      </c>
    </row>
    <row r="35" spans="1:3" x14ac:dyDescent="0.3">
      <c r="A35" s="25">
        <v>45972.497928240744</v>
      </c>
      <c r="B35" t="s">
        <v>84</v>
      </c>
      <c r="C35" t="s">
        <v>124</v>
      </c>
    </row>
    <row r="36" spans="1:3" x14ac:dyDescent="0.3">
      <c r="A36" s="25">
        <v>45972.497939814813</v>
      </c>
      <c r="B36" t="s">
        <v>91</v>
      </c>
      <c r="C36" t="s">
        <v>125</v>
      </c>
    </row>
    <row r="37" spans="1:3" x14ac:dyDescent="0.3">
      <c r="A37" s="25">
        <v>45972.498148148145</v>
      </c>
      <c r="B37" t="s">
        <v>87</v>
      </c>
      <c r="C37" t="s">
        <v>126</v>
      </c>
    </row>
    <row r="38" spans="1:3" x14ac:dyDescent="0.3">
      <c r="A38" s="25">
        <v>45972.498506944445</v>
      </c>
      <c r="B38" t="s">
        <v>91</v>
      </c>
      <c r="C38" t="s">
        <v>127</v>
      </c>
    </row>
    <row r="39" spans="1:3" x14ac:dyDescent="0.3">
      <c r="A39" s="25">
        <v>45972.499305555553</v>
      </c>
      <c r="B39" t="s">
        <v>89</v>
      </c>
      <c r="C39" t="s">
        <v>128</v>
      </c>
    </row>
    <row r="40" spans="1:3" x14ac:dyDescent="0.3">
      <c r="A40" s="25">
        <v>45972.50104166667</v>
      </c>
      <c r="B40" t="s">
        <v>89</v>
      </c>
      <c r="C40" t="s">
        <v>129</v>
      </c>
    </row>
    <row r="41" spans="1:3" x14ac:dyDescent="0.3">
      <c r="A41" s="25"/>
    </row>
    <row r="42" spans="1:3" x14ac:dyDescent="0.3">
      <c r="A42" s="25"/>
    </row>
    <row r="43" spans="1:3" x14ac:dyDescent="0.3">
      <c r="A43" s="25"/>
    </row>
    <row r="44" spans="1:3" x14ac:dyDescent="0.3">
      <c r="A44" s="25"/>
    </row>
    <row r="45" spans="1:3" x14ac:dyDescent="0.3">
      <c r="A45" s="25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87D7-0EF7-400A-A888-447270609DE4}">
  <dimension ref="A1:C3"/>
  <sheetViews>
    <sheetView zoomScale="175" zoomScaleNormal="175" workbookViewId="0">
      <selection activeCell="C4" sqref="C4"/>
    </sheetView>
  </sheetViews>
  <sheetFormatPr defaultRowHeight="14.4" x14ac:dyDescent="0.3"/>
  <cols>
    <col min="1" max="1" width="8.21875" bestFit="1" customWidth="1"/>
    <col min="2" max="2" width="8.33203125" bestFit="1" customWidth="1"/>
    <col min="3" max="3" width="6.44140625" bestFit="1" customWidth="1"/>
  </cols>
  <sheetData>
    <row r="1" spans="1:3" x14ac:dyDescent="0.3">
      <c r="A1" t="s">
        <v>0</v>
      </c>
      <c r="B1" t="s">
        <v>130</v>
      </c>
      <c r="C1" t="s">
        <v>18</v>
      </c>
    </row>
    <row r="2" spans="1:3" x14ac:dyDescent="0.3">
      <c r="A2" t="s">
        <v>4</v>
      </c>
      <c r="B2">
        <v>34000</v>
      </c>
      <c r="C2">
        <v>12</v>
      </c>
    </row>
    <row r="3" spans="1:3" x14ac:dyDescent="0.3">
      <c r="A3" t="s">
        <v>3</v>
      </c>
      <c r="B3">
        <v>22000</v>
      </c>
      <c r="C3">
        <v>90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81A9-9CF3-486E-B6C0-AB068FE0A1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11AA-A24F-4121-8259-B2386C3D18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35E98-2747-46F0-9FB2-1B07803D8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Sheet1</vt:lpstr>
      <vt:lpstr>Sheet15</vt:lpstr>
      <vt:lpstr>Sheet16</vt:lpstr>
      <vt:lpstr>Sheet2</vt:lpstr>
      <vt:lpstr>Sheet3</vt:lpstr>
      <vt:lpstr>Sheet7</vt:lpstr>
      <vt:lpstr>Sheet5</vt:lpstr>
      <vt:lpstr>Sheet10</vt:lpstr>
      <vt:lpstr>Sheet4</vt:lpstr>
      <vt:lpstr>Sheet8</vt:lpstr>
      <vt:lpstr>Sheet9</vt:lpstr>
      <vt:lpstr>Sheet6</vt:lpstr>
      <vt:lpstr>Sheet12</vt:lpstr>
      <vt:lpstr>Sheet14</vt:lpstr>
      <vt:lpstr>Sheet13</vt:lpstr>
      <vt:lpstr>Sheet11</vt:lpstr>
      <vt:lpstr>Chemestry</vt:lpstr>
      <vt:lpstr>Maths</vt:lpstr>
      <vt:lpstr>Name</vt:lpstr>
      <vt:lpstr>Physics</vt:lpstr>
      <vt:lpstr>Total</vt:lpstr>
      <vt:lpstr>Total1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2025-11-25T10:51:26Z</dcterms:modified>
</cp:coreProperties>
</file>